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guye\AppData\Roaming\MetaQuotes\Terminal\D0E8209F77C8CF37AD8BF550E51FF075\MQL5\Experts\Anhnt\Document\"/>
    </mc:Choice>
  </mc:AlternateContent>
  <xr:revisionPtr revIDLastSave="0" documentId="13_ncr:1_{326101D1-E836-43F0-9C67-6BA268FE2F06}" xr6:coauthVersionLast="47" xr6:coauthVersionMax="47" xr10:uidLastSave="{00000000-0000-0000-0000-000000000000}"/>
  <bookViews>
    <workbookView xWindow="-108" yWindow="-108" windowWidth="23256" windowHeight="12456" activeTab="1" xr2:uid="{D12966E7-F1BC-4E81-92FF-83195467F29D}"/>
  </bookViews>
  <sheets>
    <sheet name="ATR" sheetId="1" r:id="rId1"/>
    <sheet name="Parabolic SA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S6" i="2" l="1"/>
  <c r="R7" i="2"/>
  <c r="R8" i="2"/>
  <c r="R9" i="2"/>
  <c r="R10" i="2"/>
  <c r="R11" i="2"/>
  <c r="R12" i="2"/>
  <c r="R13" i="2"/>
  <c r="R14" i="2"/>
  <c r="R15" i="2"/>
  <c r="R16" i="2"/>
  <c r="R17" i="2"/>
  <c r="R18" i="2"/>
  <c r="R19" i="2"/>
  <c r="R20" i="2"/>
  <c r="R6" i="2"/>
  <c r="I2" i="2"/>
  <c r="M16" i="1"/>
  <c r="G16" i="1"/>
  <c r="I16" i="1" s="1"/>
  <c r="F16" i="1"/>
  <c r="H16" i="1" s="1"/>
  <c r="E16" i="1"/>
  <c r="M15" i="1"/>
  <c r="L15" i="1"/>
  <c r="K3" i="1"/>
  <c r="K4" i="1"/>
  <c r="K5" i="1"/>
  <c r="K6" i="1"/>
  <c r="K7" i="1"/>
  <c r="K8" i="1"/>
  <c r="K9" i="1"/>
  <c r="K10" i="1"/>
  <c r="K11" i="1"/>
  <c r="K12" i="1"/>
  <c r="K13" i="1"/>
  <c r="K14" i="1"/>
  <c r="K15" i="1"/>
  <c r="K2" i="1"/>
  <c r="J3" i="1"/>
  <c r="J4" i="1"/>
  <c r="J5" i="1"/>
  <c r="J6" i="1"/>
  <c r="J7" i="1"/>
  <c r="J8" i="1"/>
  <c r="J9" i="1"/>
  <c r="J10" i="1"/>
  <c r="J11" i="1"/>
  <c r="J12" i="1"/>
  <c r="J13" i="1"/>
  <c r="J14" i="1"/>
  <c r="J15" i="1"/>
  <c r="J2" i="1"/>
  <c r="I3" i="1"/>
  <c r="I4" i="1"/>
  <c r="I5" i="1"/>
  <c r="I6" i="1"/>
  <c r="I7" i="1"/>
  <c r="I8" i="1"/>
  <c r="I9" i="1"/>
  <c r="I10" i="1"/>
  <c r="I11" i="1"/>
  <c r="I12" i="1"/>
  <c r="I13" i="1"/>
  <c r="I14" i="1"/>
  <c r="I15" i="1"/>
  <c r="I2" i="1"/>
  <c r="H3" i="1"/>
  <c r="H4" i="1"/>
  <c r="H5" i="1"/>
  <c r="H6" i="1"/>
  <c r="H7" i="1"/>
  <c r="H8" i="1"/>
  <c r="H9" i="1"/>
  <c r="H10" i="1"/>
  <c r="H11" i="1"/>
  <c r="H12" i="1"/>
  <c r="H13" i="1"/>
  <c r="H14" i="1"/>
  <c r="H15" i="1"/>
  <c r="H2" i="1"/>
  <c r="E3" i="1"/>
  <c r="F3" i="1"/>
  <c r="G3" i="1"/>
  <c r="E4" i="1"/>
  <c r="F4" i="1"/>
  <c r="G4" i="1"/>
  <c r="E5" i="1"/>
  <c r="F5" i="1"/>
  <c r="G5" i="1"/>
  <c r="E6" i="1"/>
  <c r="F6" i="1"/>
  <c r="G6" i="1"/>
  <c r="E7" i="1"/>
  <c r="F7" i="1"/>
  <c r="G7" i="1"/>
  <c r="E8" i="1"/>
  <c r="F8" i="1"/>
  <c r="G8" i="1"/>
  <c r="E9" i="1"/>
  <c r="F9" i="1"/>
  <c r="G9" i="1"/>
  <c r="E10" i="1"/>
  <c r="F10" i="1"/>
  <c r="G10" i="1"/>
  <c r="E11" i="1"/>
  <c r="F11" i="1"/>
  <c r="G11" i="1"/>
  <c r="E12" i="1"/>
  <c r="F12" i="1"/>
  <c r="G12" i="1"/>
  <c r="E13" i="1"/>
  <c r="F13" i="1"/>
  <c r="G13" i="1"/>
  <c r="E14" i="1"/>
  <c r="F14" i="1"/>
  <c r="G14" i="1"/>
  <c r="E15" i="1"/>
  <c r="F15" i="1"/>
  <c r="G15" i="1"/>
  <c r="F2" i="1"/>
  <c r="G2" i="1"/>
  <c r="E2" i="1"/>
  <c r="J16" i="1" l="1"/>
  <c r="K16" i="1" s="1"/>
</calcChain>
</file>

<file path=xl/sharedStrings.xml><?xml version="1.0" encoding="utf-8"?>
<sst xmlns="http://schemas.openxmlformats.org/spreadsheetml/2006/main" count="91" uniqueCount="84">
  <si>
    <t>Day 1</t>
  </si>
  <si>
    <t>$ 21.95</t>
  </si>
  <si>
    <t>$ 20.22</t>
  </si>
  <si>
    <t>$ 21.51</t>
  </si>
  <si>
    <t>Day 2</t>
  </si>
  <si>
    <t>$ 22.25</t>
  </si>
  <si>
    <t>$ 21.10</t>
  </si>
  <si>
    <t>$ 21.61</t>
  </si>
  <si>
    <t>Day 3</t>
  </si>
  <si>
    <t>$ 21.50</t>
  </si>
  <si>
    <t>$ 20.34</t>
  </si>
  <si>
    <t>$ 20.83</t>
  </si>
  <si>
    <t>Day 4</t>
  </si>
  <si>
    <t>$ 23.25</t>
  </si>
  <si>
    <t>$ 22.13</t>
  </si>
  <si>
    <t>$ 22.65</t>
  </si>
  <si>
    <t>Day 5</t>
  </si>
  <si>
    <t>$ 23.03</t>
  </si>
  <si>
    <t>$ 21.87</t>
  </si>
  <si>
    <t>$ 22.41</t>
  </si>
  <si>
    <t>Day 6</t>
  </si>
  <si>
    <t>$ 23.34</t>
  </si>
  <si>
    <t>$ 22.18</t>
  </si>
  <si>
    <t>$ 22.67</t>
  </si>
  <si>
    <t>Day 7</t>
  </si>
  <si>
    <t>$ 23.66</t>
  </si>
  <si>
    <t>$ 22.57</t>
  </si>
  <si>
    <t>$ 23.05</t>
  </si>
  <si>
    <t>Day 8</t>
  </si>
  <si>
    <t>$ 23.97</t>
  </si>
  <si>
    <t>$ 22.80</t>
  </si>
  <si>
    <t>$ 23.31</t>
  </si>
  <si>
    <t>Day 9</t>
  </si>
  <si>
    <t>$ 24.29</t>
  </si>
  <si>
    <t>$ 23.15</t>
  </si>
  <si>
    <t>$ 23.68</t>
  </si>
  <si>
    <t>Day 10</t>
  </si>
  <si>
    <t>$ 24.60</t>
  </si>
  <si>
    <t>$ 23.45</t>
  </si>
  <si>
    <t>Day 11</t>
  </si>
  <si>
    <t>$ 24.92</t>
  </si>
  <si>
    <t>$ 23.76</t>
  </si>
  <si>
    <t>$ 24.31</t>
  </si>
  <si>
    <t>Day 12</t>
  </si>
  <si>
    <t>$ 25.23</t>
  </si>
  <si>
    <t>$ 24.09</t>
  </si>
  <si>
    <t>Day 13</t>
  </si>
  <si>
    <t>$ 25.55</t>
  </si>
  <si>
    <t>$ 24.39</t>
  </si>
  <si>
    <t>$ 24.89</t>
  </si>
  <si>
    <t>Day 14</t>
  </si>
  <si>
    <t>$ 25.86</t>
  </si>
  <si>
    <t>$ 24.69</t>
  </si>
  <si>
    <t>$ 25.20</t>
  </si>
  <si>
    <t> High</t>
  </si>
  <si>
    <t>Low </t>
  </si>
  <si>
    <t>Yesterday's Close</t>
  </si>
  <si>
    <t>H-L</t>
  </si>
  <si>
    <r>
      <t>H-C</t>
    </r>
    <r>
      <rPr>
        <vertAlign val="subscript"/>
        <sz val="10"/>
        <color theme="1"/>
        <rFont val="Arial"/>
        <family val="2"/>
        <charset val="163"/>
      </rPr>
      <t>p</t>
    </r>
  </si>
  <si>
    <r>
      <t>L-C</t>
    </r>
    <r>
      <rPr>
        <vertAlign val="subscript"/>
        <sz val="10"/>
        <color theme="1"/>
        <rFont val="Arial"/>
        <family val="2"/>
        <charset val="163"/>
      </rPr>
      <t>p</t>
    </r>
  </si>
  <si>
    <t>TR</t>
  </si>
  <si>
    <t>TR sum</t>
  </si>
  <si>
    <t>ATR</t>
  </si>
  <si>
    <t>Day 15</t>
  </si>
  <si>
    <t>$25.55</t>
  </si>
  <si>
    <t>$24.37</t>
  </si>
  <si>
    <t>$24.87</t>
  </si>
  <si>
    <t>SARn = SARn-1 + AF * (EP - SARn-1)</t>
  </si>
  <si>
    <t>SARn is the current period's SAR.</t>
  </si>
  <si>
    <t>SARn-1 is the SAR from the previous period.</t>
  </si>
  <si>
    <t>AF is the acceleration factor.</t>
  </si>
  <si>
    <t>EP (Extreme Point) is the extreme point in the current trend. If the current trend is an uptrend, then the extreme will be the highest point in the trend before it goes down again and if the current one is a downtrend, it will be the lowest point in a downtrend before the trend goes back up.</t>
  </si>
  <si>
    <t>SAR</t>
  </si>
  <si>
    <t>n-1</t>
  </si>
  <si>
    <t>EP</t>
  </si>
  <si>
    <t>https://blog.quantinsti.com/parabolic-sar/</t>
  </si>
  <si>
    <r>
      <t>data[</t>
    </r>
    <r>
      <rPr>
        <sz val="10"/>
        <color rgb="FF032F62"/>
        <rFont val="Arial"/>
        <family val="2"/>
        <charset val="163"/>
      </rPr>
      <t>'Signal'</t>
    </r>
    <r>
      <rPr>
        <sz val="10"/>
        <color rgb="FF1F2328"/>
        <rFont val="Arial"/>
        <family val="2"/>
        <charset val="163"/>
      </rPr>
      <t>][data[</t>
    </r>
    <r>
      <rPr>
        <sz val="10"/>
        <color rgb="FF032F62"/>
        <rFont val="Arial"/>
        <family val="2"/>
        <charset val="163"/>
      </rPr>
      <t>'Close'</t>
    </r>
    <r>
      <rPr>
        <sz val="10"/>
        <color rgb="FF1F2328"/>
        <rFont val="Arial"/>
        <family val="2"/>
        <charset val="163"/>
      </rPr>
      <t xml:space="preserve">] </t>
    </r>
    <r>
      <rPr>
        <sz val="10"/>
        <color rgb="FF005CC5"/>
        <rFont val="Arial"/>
        <family val="2"/>
        <charset val="163"/>
      </rPr>
      <t>&gt;</t>
    </r>
    <r>
      <rPr>
        <sz val="10"/>
        <color rgb="FF1F2328"/>
        <rFont val="Arial"/>
        <family val="2"/>
        <charset val="163"/>
      </rPr>
      <t xml:space="preserve"> data[</t>
    </r>
    <r>
      <rPr>
        <sz val="10"/>
        <color rgb="FF032F62"/>
        <rFont val="Arial"/>
        <family val="2"/>
        <charset val="163"/>
      </rPr>
      <t>'SAR'</t>
    </r>
    <r>
      <rPr>
        <sz val="10"/>
        <color rgb="FF1F2328"/>
        <rFont val="Arial"/>
        <family val="2"/>
        <charset val="163"/>
      </rPr>
      <t xml:space="preserve">]] </t>
    </r>
    <r>
      <rPr>
        <sz val="10"/>
        <color rgb="FF005CC5"/>
        <rFont val="Arial"/>
        <family val="2"/>
        <charset val="163"/>
      </rPr>
      <t>=</t>
    </r>
    <r>
      <rPr>
        <sz val="10"/>
        <color rgb="FF1F2328"/>
        <rFont val="Arial"/>
        <family val="2"/>
        <charset val="163"/>
      </rPr>
      <t xml:space="preserve"> </t>
    </r>
    <r>
      <rPr>
        <sz val="10"/>
        <color rgb="FF005CC5"/>
        <rFont val="Arial"/>
        <family val="2"/>
        <charset val="163"/>
      </rPr>
      <t>1</t>
    </r>
    <r>
      <rPr>
        <sz val="10"/>
        <color rgb="FF1F2328"/>
        <rFont val="Arial"/>
        <family val="2"/>
        <charset val="163"/>
      </rPr>
      <t xml:space="preserve"> </t>
    </r>
    <r>
      <rPr>
        <sz val="10"/>
        <color rgb="FF6A737D"/>
        <rFont val="Arial"/>
        <family val="2"/>
        <charset val="163"/>
      </rPr>
      <t># Buy signal</t>
    </r>
  </si>
  <si>
    <r>
      <t>data[</t>
    </r>
    <r>
      <rPr>
        <sz val="10"/>
        <color rgb="FF032F62"/>
        <rFont val="Arial"/>
        <family val="2"/>
        <charset val="163"/>
      </rPr>
      <t>'Signal'</t>
    </r>
    <r>
      <rPr>
        <sz val="10"/>
        <color rgb="FF1F2328"/>
        <rFont val="Arial"/>
        <family val="2"/>
        <charset val="163"/>
      </rPr>
      <t>][data[</t>
    </r>
    <r>
      <rPr>
        <sz val="10"/>
        <color rgb="FF032F62"/>
        <rFont val="Arial"/>
        <family val="2"/>
        <charset val="163"/>
      </rPr>
      <t>'Close'</t>
    </r>
    <r>
      <rPr>
        <sz val="10"/>
        <color rgb="FF1F2328"/>
        <rFont val="Arial"/>
        <family val="2"/>
        <charset val="163"/>
      </rPr>
      <t xml:space="preserve">] </t>
    </r>
    <r>
      <rPr>
        <sz val="10"/>
        <color rgb="FF005CC5"/>
        <rFont val="Arial"/>
        <family val="2"/>
        <charset val="163"/>
      </rPr>
      <t>&lt;</t>
    </r>
    <r>
      <rPr>
        <sz val="10"/>
        <color rgb="FF1F2328"/>
        <rFont val="Arial"/>
        <family val="2"/>
        <charset val="163"/>
      </rPr>
      <t xml:space="preserve"> data[</t>
    </r>
    <r>
      <rPr>
        <sz val="10"/>
        <color rgb="FF032F62"/>
        <rFont val="Arial"/>
        <family val="2"/>
        <charset val="163"/>
      </rPr>
      <t>'SAR'</t>
    </r>
    <r>
      <rPr>
        <sz val="10"/>
        <color rgb="FF1F2328"/>
        <rFont val="Arial"/>
        <family val="2"/>
        <charset val="163"/>
      </rPr>
      <t xml:space="preserve">]] </t>
    </r>
    <r>
      <rPr>
        <sz val="10"/>
        <color rgb="FF005CC5"/>
        <rFont val="Arial"/>
        <family val="2"/>
        <charset val="163"/>
      </rPr>
      <t>=</t>
    </r>
    <r>
      <rPr>
        <sz val="10"/>
        <color rgb="FF1F2328"/>
        <rFont val="Arial"/>
        <family val="2"/>
        <charset val="163"/>
      </rPr>
      <t xml:space="preserve"> </t>
    </r>
    <r>
      <rPr>
        <sz val="10"/>
        <color rgb="FF005CC5"/>
        <rFont val="Arial"/>
        <family val="2"/>
        <charset val="163"/>
      </rPr>
      <t>-1</t>
    </r>
    <r>
      <rPr>
        <sz val="10"/>
        <color rgb="FF1F2328"/>
        <rFont val="Arial"/>
        <family val="2"/>
        <charset val="163"/>
      </rPr>
      <t xml:space="preserve"> </t>
    </r>
    <r>
      <rPr>
        <sz val="10"/>
        <color rgb="FF6A737D"/>
        <rFont val="Arial"/>
        <family val="2"/>
        <charset val="163"/>
      </rPr>
      <t># Sell signal</t>
    </r>
  </si>
  <si>
    <t>Day</t>
  </si>
  <si>
    <t>High</t>
  </si>
  <si>
    <t>Low</t>
  </si>
  <si>
    <t>https://www.mql5.com/en/articles/10920</t>
  </si>
  <si>
    <t>the main objective of this Parabolic SAR indicator is to create trailing stops.</t>
  </si>
  <si>
    <t>EP-SAR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</si>
</sst>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163"/>
      <scheme val="minor"/>
    </font>
    <font>
      <sz val="10"/>
      <color theme="1"/>
      <name val="Arial"/>
      <family val="2"/>
      <charset val="163"/>
    </font>
    <font>
      <sz val="8"/>
      <color theme="1"/>
      <name val="Arial"/>
      <family val="2"/>
      <charset val="163"/>
    </font>
    <font>
      <vertAlign val="subscript"/>
      <sz val="10"/>
      <color theme="1"/>
      <name val="Arial"/>
      <family val="2"/>
      <charset val="163"/>
    </font>
    <font>
      <sz val="10"/>
      <color rgb="FF494949"/>
      <name val="Arial"/>
      <family val="2"/>
      <charset val="163"/>
    </font>
    <font>
      <u/>
      <sz val="11"/>
      <color theme="10"/>
      <name val="Aptos Narrow"/>
      <family val="2"/>
      <charset val="163"/>
      <scheme val="minor"/>
    </font>
    <font>
      <sz val="10"/>
      <color rgb="FF1F2328"/>
      <name val="Arial"/>
      <family val="2"/>
      <charset val="163"/>
    </font>
    <font>
      <sz val="10"/>
      <color rgb="FF032F62"/>
      <name val="Arial"/>
      <family val="2"/>
      <charset val="163"/>
    </font>
    <font>
      <sz val="10"/>
      <color rgb="FF005CC5"/>
      <name val="Arial"/>
      <family val="2"/>
      <charset val="163"/>
    </font>
    <font>
      <sz val="10"/>
      <color rgb="FF6A737D"/>
      <name val="Arial"/>
      <family val="2"/>
      <charset val="163"/>
    </font>
    <font>
      <b/>
      <sz val="8"/>
      <color rgb="FF404040"/>
      <name val="Trebuchet MS"/>
      <family val="2"/>
    </font>
    <font>
      <sz val="8"/>
      <color rgb="FF404040"/>
      <name val="Trebuchet MS"/>
      <family val="2"/>
    </font>
  </fonts>
  <fills count="5">
    <fill>
      <patternFill patternType="none"/>
    </fill>
    <fill>
      <patternFill patternType="gray125"/>
    </fill>
    <fill>
      <patternFill patternType="solid">
        <fgColor rgb="FFFFFFFF"/>
        <bgColor indexed="64"/>
      </patternFill>
    </fill>
    <fill>
      <patternFill patternType="solid">
        <fgColor rgb="FFCACACA"/>
        <bgColor indexed="64"/>
      </patternFill>
    </fill>
    <fill>
      <patternFill patternType="solid">
        <fgColor rgb="FFFFFF0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494949"/>
      </left>
      <right/>
      <top/>
      <bottom style="medium">
        <color rgb="FF494949"/>
      </bottom>
      <diagonal/>
    </border>
    <border>
      <left style="medium">
        <color rgb="FF494949"/>
      </left>
      <right/>
      <top style="medium">
        <color rgb="FF494949"/>
      </top>
      <bottom style="medium">
        <color rgb="FF494949"/>
      </bottom>
      <diagonal/>
    </border>
    <border>
      <left style="medium">
        <color rgb="FF494949"/>
      </left>
      <right style="medium">
        <color rgb="FF494949"/>
      </right>
      <top style="medium">
        <color rgb="FF494949"/>
      </top>
      <bottom style="medium">
        <color rgb="FF494949"/>
      </bottom>
      <diagonal/>
    </border>
    <border>
      <left style="medium">
        <color rgb="FF494949"/>
      </left>
      <right style="medium">
        <color rgb="FF494949"/>
      </right>
      <top/>
      <bottom style="medium">
        <color rgb="FF494949"/>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0" borderId="1" xfId="0" applyFont="1" applyBorder="1" applyAlignment="1">
      <alignment vertical="top" wrapText="1"/>
    </xf>
    <xf numFmtId="0" fontId="2" fillId="0" borderId="1" xfId="0" applyFont="1" applyBorder="1" applyAlignment="1">
      <alignment horizontal="left" vertical="top" wrapText="1"/>
    </xf>
    <xf numFmtId="0" fontId="1" fillId="0" borderId="0" xfId="0" applyFont="1" applyAlignment="1">
      <alignment vertical="top" wrapText="1"/>
    </xf>
    <xf numFmtId="0" fontId="1" fillId="0" borderId="2" xfId="0" applyFont="1" applyBorder="1" applyAlignment="1">
      <alignment vertical="top" wrapText="1"/>
    </xf>
    <xf numFmtId="0" fontId="4" fillId="0" borderId="0" xfId="0" applyFont="1" applyAlignment="1">
      <alignment horizontal="left" vertical="center" wrapText="1" indent="1"/>
    </xf>
    <xf numFmtId="0" fontId="5" fillId="0" borderId="0" xfId="1" applyAlignment="1">
      <alignment horizontal="left" vertical="center" wrapText="1" indent="1"/>
    </xf>
    <xf numFmtId="0" fontId="6" fillId="0" borderId="0" xfId="0" applyFont="1" applyAlignment="1">
      <alignment horizontal="left" vertical="top" wrapText="1" indent="1"/>
    </xf>
    <xf numFmtId="0" fontId="11" fillId="2"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5" fillId="0" borderId="0" xfId="1" applyFill="1" applyBorder="1" applyAlignment="1">
      <alignment horizontal="left" vertical="center" wrapText="1" indent="1"/>
    </xf>
    <xf numFmtId="0" fontId="11" fillId="4" borderId="0" xfId="0" applyFont="1" applyFill="1" applyAlignment="1">
      <alignment horizontal="center" vertical="center" wrapText="1"/>
    </xf>
    <xf numFmtId="0" fontId="10" fillId="3"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mql5.com/en/articles/10920" TargetMode="External"/><Relationship Id="rId1" Type="http://schemas.openxmlformats.org/officeDocument/2006/relationships/hyperlink" Target="https://blog.quantinsti.com/parabolic-s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7F5F-113A-4CA2-B1D8-426175389257}">
  <dimension ref="A1:M16"/>
  <sheetViews>
    <sheetView workbookViewId="0">
      <selection activeCell="M17" sqref="M17"/>
    </sheetView>
  </sheetViews>
  <sheetFormatPr defaultRowHeight="14.4" x14ac:dyDescent="0.3"/>
  <cols>
    <col min="3" max="3" width="7.109375" bestFit="1" customWidth="1"/>
    <col min="4" max="4" width="8.6640625" bestFit="1" customWidth="1"/>
    <col min="5" max="7" width="8.6640625" customWidth="1"/>
  </cols>
  <sheetData>
    <row r="1" spans="1:13" ht="21" thickBot="1" x14ac:dyDescent="0.35">
      <c r="B1" s="2" t="s">
        <v>54</v>
      </c>
      <c r="C1" s="2" t="s">
        <v>55</v>
      </c>
      <c r="D1" s="2" t="s">
        <v>56</v>
      </c>
      <c r="E1" s="2" t="s">
        <v>54</v>
      </c>
      <c r="F1" s="2" t="s">
        <v>55</v>
      </c>
      <c r="G1" s="2" t="s">
        <v>56</v>
      </c>
      <c r="H1" s="1" t="s">
        <v>57</v>
      </c>
      <c r="I1" s="1" t="s">
        <v>58</v>
      </c>
      <c r="J1" s="1" t="s">
        <v>59</v>
      </c>
      <c r="K1" s="4" t="s">
        <v>60</v>
      </c>
      <c r="L1" s="4" t="s">
        <v>61</v>
      </c>
      <c r="M1" s="4" t="s">
        <v>62</v>
      </c>
    </row>
    <row r="2" spans="1:13" ht="15" thickBot="1" x14ac:dyDescent="0.35">
      <c r="A2" s="1" t="s">
        <v>0</v>
      </c>
      <c r="B2" s="1" t="s">
        <v>1</v>
      </c>
      <c r="C2" s="1" t="s">
        <v>2</v>
      </c>
      <c r="D2" s="1" t="s">
        <v>3</v>
      </c>
      <c r="E2" s="3" t="str">
        <f>RIGHT(TRIM(B2),LEN(TRIM(B2))-1)</f>
        <v xml:space="preserve"> 21.95</v>
      </c>
      <c r="F2" s="3" t="str">
        <f t="shared" ref="F2:G2" si="0">RIGHT(TRIM(C2),LEN(TRIM(C2))-1)</f>
        <v xml:space="preserve"> 20.22</v>
      </c>
      <c r="G2" s="3" t="str">
        <f t="shared" si="0"/>
        <v xml:space="preserve"> 21.51</v>
      </c>
      <c r="H2">
        <f>E2-F2</f>
        <v>1.7300000000000004</v>
      </c>
      <c r="I2">
        <f>E2-G2</f>
        <v>0.43999999999999773</v>
      </c>
      <c r="J2">
        <f>F2-G2</f>
        <v>-1.2900000000000027</v>
      </c>
      <c r="K2">
        <f>MAX(H2:J2)</f>
        <v>1.7300000000000004</v>
      </c>
    </row>
    <row r="3" spans="1:13" ht="15" thickBot="1" x14ac:dyDescent="0.35">
      <c r="A3" s="1" t="s">
        <v>4</v>
      </c>
      <c r="B3" s="1" t="s">
        <v>5</v>
      </c>
      <c r="C3" s="1" t="s">
        <v>6</v>
      </c>
      <c r="D3" s="1" t="s">
        <v>7</v>
      </c>
      <c r="E3" s="3" t="str">
        <f t="shared" ref="E3:E16" si="1">RIGHT(TRIM(B3),LEN(TRIM(B3))-1)</f>
        <v xml:space="preserve"> 22.25</v>
      </c>
      <c r="F3" s="3" t="str">
        <f t="shared" ref="F3:F16" si="2">RIGHT(TRIM(C3),LEN(TRIM(C3))-1)</f>
        <v xml:space="preserve"> 21.10</v>
      </c>
      <c r="G3" s="3" t="str">
        <f t="shared" ref="G3:G16" si="3">RIGHT(TRIM(D3),LEN(TRIM(D3))-1)</f>
        <v xml:space="preserve"> 21.61</v>
      </c>
      <c r="H3">
        <f t="shared" ref="H3:H16" si="4">E3-F3</f>
        <v>1.1499999999999986</v>
      </c>
      <c r="I3">
        <f t="shared" ref="I3:I16" si="5">E3-G3</f>
        <v>0.64000000000000057</v>
      </c>
      <c r="J3">
        <f t="shared" ref="J3:J16" si="6">F3-G3</f>
        <v>-0.50999999999999801</v>
      </c>
      <c r="K3">
        <f t="shared" ref="K3:K16" si="7">MAX(H3:J3)</f>
        <v>1.1499999999999986</v>
      </c>
    </row>
    <row r="4" spans="1:13" ht="15" thickBot="1" x14ac:dyDescent="0.35">
      <c r="A4" s="1" t="s">
        <v>8</v>
      </c>
      <c r="B4" s="1" t="s">
        <v>9</v>
      </c>
      <c r="C4" s="1" t="s">
        <v>10</v>
      </c>
      <c r="D4" s="1" t="s">
        <v>11</v>
      </c>
      <c r="E4" s="3" t="str">
        <f t="shared" si="1"/>
        <v xml:space="preserve"> 21.50</v>
      </c>
      <c r="F4" s="3" t="str">
        <f t="shared" si="2"/>
        <v xml:space="preserve"> 20.34</v>
      </c>
      <c r="G4" s="3" t="str">
        <f t="shared" si="3"/>
        <v xml:space="preserve"> 20.83</v>
      </c>
      <c r="H4">
        <f t="shared" si="4"/>
        <v>1.1600000000000001</v>
      </c>
      <c r="I4">
        <f t="shared" si="5"/>
        <v>0.67000000000000171</v>
      </c>
      <c r="J4">
        <f t="shared" si="6"/>
        <v>-0.48999999999999844</v>
      </c>
      <c r="K4">
        <f t="shared" si="7"/>
        <v>1.1600000000000001</v>
      </c>
    </row>
    <row r="5" spans="1:13" ht="15" thickBot="1" x14ac:dyDescent="0.35">
      <c r="A5" s="1" t="s">
        <v>12</v>
      </c>
      <c r="B5" s="1" t="s">
        <v>13</v>
      </c>
      <c r="C5" s="1" t="s">
        <v>14</v>
      </c>
      <c r="D5" s="1" t="s">
        <v>15</v>
      </c>
      <c r="E5" s="3" t="str">
        <f t="shared" si="1"/>
        <v xml:space="preserve"> 23.25</v>
      </c>
      <c r="F5" s="3" t="str">
        <f t="shared" si="2"/>
        <v xml:space="preserve"> 22.13</v>
      </c>
      <c r="G5" s="3" t="str">
        <f t="shared" si="3"/>
        <v xml:space="preserve"> 22.65</v>
      </c>
      <c r="H5">
        <f t="shared" si="4"/>
        <v>1.120000000000001</v>
      </c>
      <c r="I5">
        <f t="shared" si="5"/>
        <v>0.60000000000000142</v>
      </c>
      <c r="J5">
        <f t="shared" si="6"/>
        <v>-0.51999999999999957</v>
      </c>
      <c r="K5">
        <f t="shared" si="7"/>
        <v>1.120000000000001</v>
      </c>
    </row>
    <row r="6" spans="1:13" ht="15" thickBot="1" x14ac:dyDescent="0.35">
      <c r="A6" s="1" t="s">
        <v>16</v>
      </c>
      <c r="B6" s="1" t="s">
        <v>17</v>
      </c>
      <c r="C6" s="1" t="s">
        <v>18</v>
      </c>
      <c r="D6" s="1" t="s">
        <v>19</v>
      </c>
      <c r="E6" s="3" t="str">
        <f t="shared" si="1"/>
        <v xml:space="preserve"> 23.03</v>
      </c>
      <c r="F6" s="3" t="str">
        <f t="shared" si="2"/>
        <v xml:space="preserve"> 21.87</v>
      </c>
      <c r="G6" s="3" t="str">
        <f t="shared" si="3"/>
        <v xml:space="preserve"> 22.41</v>
      </c>
      <c r="H6">
        <f t="shared" si="4"/>
        <v>1.1600000000000001</v>
      </c>
      <c r="I6">
        <f t="shared" si="5"/>
        <v>0.62000000000000099</v>
      </c>
      <c r="J6">
        <f t="shared" si="6"/>
        <v>-0.53999999999999915</v>
      </c>
      <c r="K6">
        <f t="shared" si="7"/>
        <v>1.1600000000000001</v>
      </c>
    </row>
    <row r="7" spans="1:13" ht="15" thickBot="1" x14ac:dyDescent="0.35">
      <c r="A7" s="1" t="s">
        <v>20</v>
      </c>
      <c r="B7" s="1" t="s">
        <v>21</v>
      </c>
      <c r="C7" s="1" t="s">
        <v>22</v>
      </c>
      <c r="D7" s="1" t="s">
        <v>23</v>
      </c>
      <c r="E7" s="3" t="str">
        <f t="shared" si="1"/>
        <v xml:space="preserve"> 23.34</v>
      </c>
      <c r="F7" s="3" t="str">
        <f t="shared" si="2"/>
        <v xml:space="preserve"> 22.18</v>
      </c>
      <c r="G7" s="3" t="str">
        <f t="shared" si="3"/>
        <v xml:space="preserve"> 22.67</v>
      </c>
      <c r="H7">
        <f t="shared" si="4"/>
        <v>1.1600000000000001</v>
      </c>
      <c r="I7">
        <f t="shared" si="5"/>
        <v>0.66999999999999815</v>
      </c>
      <c r="J7">
        <f t="shared" si="6"/>
        <v>-0.49000000000000199</v>
      </c>
      <c r="K7">
        <f t="shared" si="7"/>
        <v>1.1600000000000001</v>
      </c>
    </row>
    <row r="8" spans="1:13" ht="15" thickBot="1" x14ac:dyDescent="0.35">
      <c r="A8" s="1" t="s">
        <v>24</v>
      </c>
      <c r="B8" s="1" t="s">
        <v>25</v>
      </c>
      <c r="C8" s="1" t="s">
        <v>26</v>
      </c>
      <c r="D8" s="1" t="s">
        <v>27</v>
      </c>
      <c r="E8" s="3" t="str">
        <f t="shared" si="1"/>
        <v xml:space="preserve"> 23.66</v>
      </c>
      <c r="F8" s="3" t="str">
        <f t="shared" si="2"/>
        <v xml:space="preserve"> 22.57</v>
      </c>
      <c r="G8" s="3" t="str">
        <f t="shared" si="3"/>
        <v xml:space="preserve"> 23.05</v>
      </c>
      <c r="H8">
        <f t="shared" si="4"/>
        <v>1.0899999999999999</v>
      </c>
      <c r="I8">
        <f t="shared" si="5"/>
        <v>0.60999999999999943</v>
      </c>
      <c r="J8">
        <f t="shared" si="6"/>
        <v>-0.48000000000000043</v>
      </c>
      <c r="K8">
        <f t="shared" si="7"/>
        <v>1.0899999999999999</v>
      </c>
    </row>
    <row r="9" spans="1:13" ht="15" thickBot="1" x14ac:dyDescent="0.35">
      <c r="A9" s="1" t="s">
        <v>28</v>
      </c>
      <c r="B9" s="1" t="s">
        <v>29</v>
      </c>
      <c r="C9" s="1" t="s">
        <v>30</v>
      </c>
      <c r="D9" s="1" t="s">
        <v>31</v>
      </c>
      <c r="E9" s="3" t="str">
        <f t="shared" si="1"/>
        <v xml:space="preserve"> 23.97</v>
      </c>
      <c r="F9" s="3" t="str">
        <f t="shared" si="2"/>
        <v xml:space="preserve"> 22.80</v>
      </c>
      <c r="G9" s="3" t="str">
        <f t="shared" si="3"/>
        <v xml:space="preserve"> 23.31</v>
      </c>
      <c r="H9">
        <f t="shared" si="4"/>
        <v>1.1699999999999982</v>
      </c>
      <c r="I9">
        <f t="shared" si="5"/>
        <v>0.66000000000000014</v>
      </c>
      <c r="J9">
        <f t="shared" si="6"/>
        <v>-0.50999999999999801</v>
      </c>
      <c r="K9">
        <f t="shared" si="7"/>
        <v>1.1699999999999982</v>
      </c>
    </row>
    <row r="10" spans="1:13" ht="15" thickBot="1" x14ac:dyDescent="0.35">
      <c r="A10" s="1" t="s">
        <v>32</v>
      </c>
      <c r="B10" s="1" t="s">
        <v>33</v>
      </c>
      <c r="C10" s="1" t="s">
        <v>34</v>
      </c>
      <c r="D10" s="1" t="s">
        <v>35</v>
      </c>
      <c r="E10" s="3" t="str">
        <f t="shared" si="1"/>
        <v xml:space="preserve"> 24.29</v>
      </c>
      <c r="F10" s="3" t="str">
        <f t="shared" si="2"/>
        <v xml:space="preserve"> 23.15</v>
      </c>
      <c r="G10" s="3" t="str">
        <f t="shared" si="3"/>
        <v xml:space="preserve"> 23.68</v>
      </c>
      <c r="H10">
        <f t="shared" si="4"/>
        <v>1.1400000000000006</v>
      </c>
      <c r="I10">
        <f t="shared" si="5"/>
        <v>0.60999999999999943</v>
      </c>
      <c r="J10">
        <f t="shared" si="6"/>
        <v>-0.53000000000000114</v>
      </c>
      <c r="K10">
        <f t="shared" si="7"/>
        <v>1.1400000000000006</v>
      </c>
    </row>
    <row r="11" spans="1:13" ht="15" thickBot="1" x14ac:dyDescent="0.35">
      <c r="A11" s="1" t="s">
        <v>36</v>
      </c>
      <c r="B11" s="1" t="s">
        <v>37</v>
      </c>
      <c r="C11" s="1" t="s">
        <v>38</v>
      </c>
      <c r="D11" s="1" t="s">
        <v>29</v>
      </c>
      <c r="E11" s="3" t="str">
        <f t="shared" si="1"/>
        <v xml:space="preserve"> 24.60</v>
      </c>
      <c r="F11" s="3" t="str">
        <f t="shared" si="2"/>
        <v xml:space="preserve"> 23.45</v>
      </c>
      <c r="G11" s="3" t="str">
        <f t="shared" si="3"/>
        <v xml:space="preserve"> 23.97</v>
      </c>
      <c r="H11">
        <f t="shared" si="4"/>
        <v>1.1500000000000021</v>
      </c>
      <c r="I11">
        <f t="shared" si="5"/>
        <v>0.63000000000000256</v>
      </c>
      <c r="J11">
        <f t="shared" si="6"/>
        <v>-0.51999999999999957</v>
      </c>
      <c r="K11">
        <f t="shared" si="7"/>
        <v>1.1500000000000021</v>
      </c>
    </row>
    <row r="12" spans="1:13" ht="15" thickBot="1" x14ac:dyDescent="0.35">
      <c r="A12" s="1" t="s">
        <v>39</v>
      </c>
      <c r="B12" s="1" t="s">
        <v>40</v>
      </c>
      <c r="C12" s="1" t="s">
        <v>41</v>
      </c>
      <c r="D12" s="1" t="s">
        <v>42</v>
      </c>
      <c r="E12" s="3" t="str">
        <f t="shared" si="1"/>
        <v xml:space="preserve"> 24.92</v>
      </c>
      <c r="F12" s="3" t="str">
        <f t="shared" si="2"/>
        <v xml:space="preserve"> 23.76</v>
      </c>
      <c r="G12" s="3" t="str">
        <f t="shared" si="3"/>
        <v xml:space="preserve"> 24.31</v>
      </c>
      <c r="H12">
        <f t="shared" si="4"/>
        <v>1.1600000000000001</v>
      </c>
      <c r="I12">
        <f t="shared" si="5"/>
        <v>0.61000000000000298</v>
      </c>
      <c r="J12">
        <f t="shared" si="6"/>
        <v>-0.54999999999999716</v>
      </c>
      <c r="K12">
        <f t="shared" si="7"/>
        <v>1.1600000000000001</v>
      </c>
    </row>
    <row r="13" spans="1:13" ht="15" thickBot="1" x14ac:dyDescent="0.35">
      <c r="A13" s="1" t="s">
        <v>43</v>
      </c>
      <c r="B13" s="1" t="s">
        <v>44</v>
      </c>
      <c r="C13" s="1" t="s">
        <v>45</v>
      </c>
      <c r="D13" s="1" t="s">
        <v>37</v>
      </c>
      <c r="E13" s="3" t="str">
        <f t="shared" si="1"/>
        <v xml:space="preserve"> 25.23</v>
      </c>
      <c r="F13" s="3" t="str">
        <f t="shared" si="2"/>
        <v xml:space="preserve"> 24.09</v>
      </c>
      <c r="G13" s="3" t="str">
        <f t="shared" si="3"/>
        <v xml:space="preserve"> 24.60</v>
      </c>
      <c r="H13">
        <f t="shared" si="4"/>
        <v>1.1400000000000006</v>
      </c>
      <c r="I13">
        <f t="shared" si="5"/>
        <v>0.62999999999999901</v>
      </c>
      <c r="J13">
        <f t="shared" si="6"/>
        <v>-0.51000000000000156</v>
      </c>
      <c r="K13">
        <f t="shared" si="7"/>
        <v>1.1400000000000006</v>
      </c>
    </row>
    <row r="14" spans="1:13" ht="15" thickBot="1" x14ac:dyDescent="0.35">
      <c r="A14" s="1" t="s">
        <v>46</v>
      </c>
      <c r="B14" s="1" t="s">
        <v>47</v>
      </c>
      <c r="C14" s="1" t="s">
        <v>48</v>
      </c>
      <c r="D14" s="1" t="s">
        <v>49</v>
      </c>
      <c r="E14" s="3" t="str">
        <f t="shared" si="1"/>
        <v xml:space="preserve"> 25.55</v>
      </c>
      <c r="F14" s="3" t="str">
        <f t="shared" si="2"/>
        <v xml:space="preserve"> 24.39</v>
      </c>
      <c r="G14" s="3" t="str">
        <f t="shared" si="3"/>
        <v xml:space="preserve"> 24.89</v>
      </c>
      <c r="H14">
        <f t="shared" si="4"/>
        <v>1.1600000000000001</v>
      </c>
      <c r="I14">
        <f t="shared" si="5"/>
        <v>0.66000000000000014</v>
      </c>
      <c r="J14">
        <f t="shared" si="6"/>
        <v>-0.5</v>
      </c>
      <c r="K14">
        <f t="shared" si="7"/>
        <v>1.1600000000000001</v>
      </c>
    </row>
    <row r="15" spans="1:13" ht="15" thickBot="1" x14ac:dyDescent="0.35">
      <c r="A15" s="1" t="s">
        <v>50</v>
      </c>
      <c r="B15" s="1" t="s">
        <v>51</v>
      </c>
      <c r="C15" s="1" t="s">
        <v>52</v>
      </c>
      <c r="D15" s="1" t="s">
        <v>53</v>
      </c>
      <c r="E15" s="3" t="str">
        <f t="shared" si="1"/>
        <v xml:space="preserve"> 25.86</v>
      </c>
      <c r="F15" s="3" t="str">
        <f t="shared" si="2"/>
        <v xml:space="preserve"> 24.69</v>
      </c>
      <c r="G15" s="3" t="str">
        <f t="shared" si="3"/>
        <v xml:space="preserve"> 25.20</v>
      </c>
      <c r="H15">
        <f t="shared" si="4"/>
        <v>1.1699999999999982</v>
      </c>
      <c r="I15">
        <f t="shared" si="5"/>
        <v>0.66000000000000014</v>
      </c>
      <c r="J15">
        <f t="shared" si="6"/>
        <v>-0.50999999999999801</v>
      </c>
      <c r="K15">
        <f t="shared" si="7"/>
        <v>1.1699999999999982</v>
      </c>
      <c r="L15">
        <f>SUM(K2:K15)</f>
        <v>16.66</v>
      </c>
      <c r="M15">
        <f>L15/14</f>
        <v>1.19</v>
      </c>
    </row>
    <row r="16" spans="1:13" x14ac:dyDescent="0.3">
      <c r="A16" s="4" t="s">
        <v>63</v>
      </c>
      <c r="B16" s="4" t="s">
        <v>64</v>
      </c>
      <c r="C16" s="4" t="s">
        <v>65</v>
      </c>
      <c r="D16" s="4" t="s">
        <v>66</v>
      </c>
      <c r="E16" s="3" t="str">
        <f t="shared" si="1"/>
        <v>25.55</v>
      </c>
      <c r="F16" s="3" t="str">
        <f t="shared" si="2"/>
        <v>24.37</v>
      </c>
      <c r="G16" s="3" t="str">
        <f t="shared" si="3"/>
        <v>24.87</v>
      </c>
      <c r="H16">
        <f t="shared" si="4"/>
        <v>1.1799999999999997</v>
      </c>
      <c r="I16">
        <f t="shared" si="5"/>
        <v>0.67999999999999972</v>
      </c>
      <c r="J16">
        <f t="shared" si="6"/>
        <v>-0.5</v>
      </c>
      <c r="K16">
        <f t="shared" si="7"/>
        <v>1.1799999999999997</v>
      </c>
      <c r="M16">
        <f>(M15*13+K16)/14</f>
        <v>1.1892857142857143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AE8D-59CA-4EA1-A006-5495C53C41F0}">
  <dimension ref="B1:S20"/>
  <sheetViews>
    <sheetView tabSelected="1" topLeftCell="B1" workbookViewId="0">
      <selection activeCell="S1" sqref="S1"/>
    </sheetView>
  </sheetViews>
  <sheetFormatPr defaultRowHeight="14.4" x14ac:dyDescent="0.3"/>
  <cols>
    <col min="2" max="2" width="64" customWidth="1"/>
    <col min="7" max="7" width="4.21875" bestFit="1" customWidth="1"/>
    <col min="14" max="14" width="3.21875" bestFit="1" customWidth="1"/>
    <col min="16" max="16" width="4.44140625" bestFit="1" customWidth="1"/>
    <col min="17" max="17" width="3.33203125" bestFit="1" customWidth="1"/>
    <col min="18" max="18" width="3" bestFit="1" customWidth="1"/>
    <col min="19" max="19" width="7" bestFit="1" customWidth="1"/>
  </cols>
  <sheetData>
    <row r="1" spans="2:19" ht="15" thickBot="1" x14ac:dyDescent="0.35">
      <c r="B1" t="s">
        <v>67</v>
      </c>
      <c r="G1" t="s">
        <v>72</v>
      </c>
      <c r="H1" t="s">
        <v>74</v>
      </c>
      <c r="N1" s="9" t="s">
        <v>78</v>
      </c>
      <c r="O1" s="9" t="s">
        <v>79</v>
      </c>
      <c r="P1" s="10" t="s">
        <v>80</v>
      </c>
      <c r="Q1" s="14" t="s">
        <v>72</v>
      </c>
      <c r="R1" s="14" t="s">
        <v>74</v>
      </c>
      <c r="S1" s="14" t="s">
        <v>83</v>
      </c>
    </row>
    <row r="2" spans="2:19" ht="15" thickBot="1" x14ac:dyDescent="0.35">
      <c r="B2" s="5" t="s">
        <v>68</v>
      </c>
      <c r="F2" t="s">
        <v>73</v>
      </c>
      <c r="G2">
        <v>50</v>
      </c>
      <c r="H2">
        <v>52</v>
      </c>
      <c r="I2">
        <f>G2+$C$4*(H2-G2)</f>
        <v>50.04</v>
      </c>
      <c r="N2" s="8">
        <v>1</v>
      </c>
      <c r="O2" s="8">
        <v>45</v>
      </c>
      <c r="P2" s="11">
        <v>43</v>
      </c>
    </row>
    <row r="3" spans="2:19" ht="15" thickBot="1" x14ac:dyDescent="0.35">
      <c r="B3" s="5" t="s">
        <v>69</v>
      </c>
      <c r="N3" s="8">
        <v>2</v>
      </c>
      <c r="O3" s="8">
        <v>44</v>
      </c>
      <c r="P3" s="11">
        <v>43.5</v>
      </c>
    </row>
    <row r="4" spans="2:19" ht="15" thickBot="1" x14ac:dyDescent="0.35">
      <c r="B4" s="5" t="s">
        <v>70</v>
      </c>
      <c r="C4">
        <v>0.02</v>
      </c>
      <c r="N4" s="8">
        <v>3</v>
      </c>
      <c r="O4" s="8">
        <v>46</v>
      </c>
      <c r="P4" s="11">
        <v>43</v>
      </c>
    </row>
    <row r="5" spans="2:19" ht="53.4" thickBot="1" x14ac:dyDescent="0.35">
      <c r="B5" s="5" t="s">
        <v>71</v>
      </c>
      <c r="N5" s="8">
        <v>4</v>
      </c>
      <c r="O5" s="8">
        <v>47</v>
      </c>
      <c r="P5" s="11">
        <v>42</v>
      </c>
    </row>
    <row r="6" spans="2:19" ht="15" thickBot="1" x14ac:dyDescent="0.35">
      <c r="N6" s="8">
        <v>5</v>
      </c>
      <c r="O6" s="8">
        <v>48</v>
      </c>
      <c r="P6" s="11">
        <v>42.5</v>
      </c>
      <c r="Q6" s="13">
        <v>42</v>
      </c>
      <c r="R6">
        <f>MAX(O$2:O6)</f>
        <v>48</v>
      </c>
      <c r="S6">
        <f>R6-Q6</f>
        <v>6</v>
      </c>
    </row>
    <row r="7" spans="2:19" ht="15" thickBot="1" x14ac:dyDescent="0.35">
      <c r="B7" s="6" t="s">
        <v>75</v>
      </c>
      <c r="N7" s="8">
        <v>6</v>
      </c>
      <c r="O7" s="8">
        <v>47.5</v>
      </c>
      <c r="P7" s="11">
        <v>42.75</v>
      </c>
      <c r="R7">
        <f>MAX(O$2:O7)</f>
        <v>48</v>
      </c>
    </row>
    <row r="8" spans="2:19" ht="15" thickBot="1" x14ac:dyDescent="0.35">
      <c r="B8" s="12" t="s">
        <v>81</v>
      </c>
      <c r="N8" s="8">
        <v>7</v>
      </c>
      <c r="O8" s="8">
        <v>48</v>
      </c>
      <c r="P8" s="11">
        <v>42.6</v>
      </c>
      <c r="R8">
        <f>MAX(O$2:O8)</f>
        <v>48</v>
      </c>
    </row>
    <row r="9" spans="2:19" ht="15" thickBot="1" x14ac:dyDescent="0.35">
      <c r="N9" s="8">
        <v>8</v>
      </c>
      <c r="O9" s="8">
        <v>47.75</v>
      </c>
      <c r="P9" s="11">
        <v>42.5</v>
      </c>
      <c r="R9">
        <f>MAX(O$2:O9)</f>
        <v>48</v>
      </c>
    </row>
    <row r="10" spans="2:19" ht="15" thickBot="1" x14ac:dyDescent="0.35">
      <c r="B10" s="7" t="s">
        <v>76</v>
      </c>
      <c r="N10" s="8">
        <v>9</v>
      </c>
      <c r="O10" s="8">
        <v>48</v>
      </c>
      <c r="P10" s="11">
        <v>43</v>
      </c>
      <c r="R10">
        <f>MAX(O$2:O10)</f>
        <v>48</v>
      </c>
    </row>
    <row r="11" spans="2:19" ht="15" thickBot="1" x14ac:dyDescent="0.35">
      <c r="B11" s="7" t="s">
        <v>77</v>
      </c>
      <c r="N11" s="8">
        <v>10</v>
      </c>
      <c r="O11" s="8">
        <v>49</v>
      </c>
      <c r="P11" s="11">
        <v>42.5</v>
      </c>
      <c r="R11">
        <f>MAX(O$2:O11)</f>
        <v>49</v>
      </c>
    </row>
    <row r="12" spans="2:19" ht="15" thickBot="1" x14ac:dyDescent="0.35">
      <c r="N12" s="8">
        <v>11</v>
      </c>
      <c r="O12" s="8">
        <v>48.75</v>
      </c>
      <c r="P12" s="11">
        <v>42.6</v>
      </c>
      <c r="R12">
        <f>MAX(O$2:O12)</f>
        <v>49</v>
      </c>
    </row>
    <row r="13" spans="2:19" ht="15" thickBot="1" x14ac:dyDescent="0.35">
      <c r="N13" s="8">
        <v>12</v>
      </c>
      <c r="O13" s="8">
        <v>50</v>
      </c>
      <c r="P13" s="11">
        <v>42</v>
      </c>
      <c r="R13">
        <f>MAX(O$2:O13)</f>
        <v>50</v>
      </c>
    </row>
    <row r="14" spans="2:19" ht="15" thickBot="1" x14ac:dyDescent="0.35">
      <c r="B14" t="s">
        <v>82</v>
      </c>
      <c r="N14" s="8">
        <v>13</v>
      </c>
      <c r="O14" s="8">
        <v>51</v>
      </c>
      <c r="P14" s="11">
        <v>42.5</v>
      </c>
      <c r="R14">
        <f>MAX(O$2:O14)</f>
        <v>51</v>
      </c>
    </row>
    <row r="15" spans="2:19" ht="15" thickBot="1" x14ac:dyDescent="0.35">
      <c r="N15" s="8">
        <v>14</v>
      </c>
      <c r="O15" s="8">
        <v>52</v>
      </c>
      <c r="P15" s="11">
        <v>43</v>
      </c>
      <c r="R15">
        <f>MAX(O$2:O15)</f>
        <v>52</v>
      </c>
    </row>
    <row r="16" spans="2:19" ht="15" thickBot="1" x14ac:dyDescent="0.35">
      <c r="N16" s="8">
        <v>15</v>
      </c>
      <c r="O16" s="8">
        <v>51.5</v>
      </c>
      <c r="P16" s="11">
        <v>42.5</v>
      </c>
      <c r="R16">
        <f>MAX(O$2:O16)</f>
        <v>52</v>
      </c>
    </row>
    <row r="17" spans="14:18" ht="15" thickBot="1" x14ac:dyDescent="0.35">
      <c r="N17" s="8">
        <v>16</v>
      </c>
      <c r="O17" s="8">
        <v>51</v>
      </c>
      <c r="P17" s="11">
        <v>42</v>
      </c>
      <c r="R17">
        <f>MAX(O$2:O17)</f>
        <v>52</v>
      </c>
    </row>
    <row r="18" spans="14:18" ht="15" thickBot="1" x14ac:dyDescent="0.35">
      <c r="N18" s="8">
        <v>17</v>
      </c>
      <c r="O18" s="8">
        <v>52</v>
      </c>
      <c r="P18" s="11">
        <v>43</v>
      </c>
      <c r="R18">
        <f>MAX(O$2:O18)</f>
        <v>52</v>
      </c>
    </row>
    <row r="19" spans="14:18" ht="15" thickBot="1" x14ac:dyDescent="0.35">
      <c r="N19" s="8">
        <v>18</v>
      </c>
      <c r="O19" s="8">
        <v>53</v>
      </c>
      <c r="P19" s="11">
        <v>44</v>
      </c>
      <c r="R19">
        <f>MAX(O$2:O19)</f>
        <v>53</v>
      </c>
    </row>
    <row r="20" spans="14:18" ht="15" thickBot="1" x14ac:dyDescent="0.35">
      <c r="N20" s="8">
        <v>19</v>
      </c>
      <c r="O20" s="8">
        <v>54</v>
      </c>
      <c r="P20" s="11">
        <v>45</v>
      </c>
      <c r="R20">
        <f>MAX(O$2:O20)</f>
        <v>54</v>
      </c>
    </row>
  </sheetData>
  <hyperlinks>
    <hyperlink ref="B7" r:id="rId1" xr:uid="{48F88C2B-CB73-4AA4-BE4C-6F87506A0AB3}"/>
    <hyperlink ref="B8" r:id="rId2" xr:uid="{135D9303-5BA4-4869-91E1-39257BD45A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ATR</vt:lpstr>
      <vt:lpstr>Parabolic SAR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Tuan Anh</dc:creator>
  <cp:lastModifiedBy>Nguyen Tuan Anh</cp:lastModifiedBy>
  <dcterms:created xsi:type="dcterms:W3CDTF">2026-05-05T17:53:18Z</dcterms:created>
  <dcterms:modified xsi:type="dcterms:W3CDTF">2026-05-06T01:23:59Z</dcterms:modified>
</cp:coreProperties>
</file>