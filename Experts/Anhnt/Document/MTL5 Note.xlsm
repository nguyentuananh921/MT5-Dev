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D1B6E4AC-3720-43D5-ADBD-A96490637C15}" xr6:coauthVersionLast="47" xr6:coauthVersionMax="47" xr10:uidLastSave="{00000000-0000-0000-0000-000000000000}"/>
  <bookViews>
    <workbookView xWindow="-108" yWindow="-108" windowWidth="23256" windowHeight="12456" tabRatio="782" firstSheet="7" activeTab="7" xr2:uid="{00000000-000D-0000-FFFF-FFFF00000000}"/>
  </bookViews>
  <sheets>
    <sheet name="DashBoard" sheetId="9" r:id="rId1"/>
    <sheet name="Folders" sheetId="13" r:id="rId2"/>
    <sheet name="Files" sheetId="10" r:id="rId3"/>
    <sheet name="Conjunction" sheetId="12" r:id="rId4"/>
    <sheet name="Class" sheetId="11" r:id="rId5"/>
    <sheet name="Note" sheetId="1" r:id="rId6"/>
    <sheet name="Refactor" sheetId="8" r:id="rId7"/>
    <sheet name="IncludeGuard" sheetId="14" r:id="rId8"/>
    <sheet name="Enum and Define" sheetId="6" r:id="rId9"/>
    <sheet name="Unique" sheetId="4" r:id="rId10"/>
  </sheets>
  <externalReferences>
    <externalReference r:id="rId11"/>
  </externalReferences>
  <definedNames>
    <definedName name="_xlnm._FilterDatabase" localSheetId="5" hidden="1">Note!$B$1:$F$1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4" l="1"/>
  <c r="D7" i="14"/>
  <c r="D6" i="14"/>
  <c r="H2" i="14"/>
  <c r="I8" i="14" s="1"/>
  <c r="D4" i="14"/>
  <c r="D3" i="14"/>
  <c r="D2" i="14"/>
  <c r="C2" i="14"/>
  <c r="E3" i="12"/>
  <c r="E4" i="12"/>
  <c r="E5" i="12"/>
  <c r="E6" i="12"/>
  <c r="E7" i="12"/>
  <c r="E8" i="12"/>
  <c r="E9" i="12"/>
  <c r="E10" i="12"/>
  <c r="E11" i="12"/>
  <c r="E12" i="12"/>
  <c r="I14" i="14" l="1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<sst xmlns="http://schemas.openxmlformats.org/spreadsheetml/2006/main" count="234" uniqueCount="136">
  <si>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</si>
  <si>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</si>
  <si>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</si>
  <si>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</si>
  <si>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</si>
  <si>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</si>
  <si>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</si>
  <si>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</si>
  <si>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</si>
  <si>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</si>
  <si>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</si>
  <si>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</si>
  <si>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</si>
  <si>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</si>
  <si>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</si>
  <si>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</si>
  <si>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</si>
  <si>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</si>
  <si>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</si>
  <si>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</si>
  <si>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</si>
  <si>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</si>
  <si>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</si>
  <si>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</si>
  <si>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</si>
  <si>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</si>
  <si>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</si>
  <si>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</si>
  <si>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</si>
  <si>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</si>
  <si>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</si>
  <si>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</si>
  <si>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</si>
  <si>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</si>
  <si>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</si>
  <si>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</si>
  <si>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</si>
  <si>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</si>
  <si>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</si>
  <si>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</si>
  <si>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</si>
  <si>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</si>
  <si>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</si>
  <si>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</si>
  <si>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</si>
  <si>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</si>
  <si>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</si>
  <si>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</si>
  <si>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</si>
  <si>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</si>
  <si>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</si>
  <si>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</si>
  <si>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</si>
  <si>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</si>
  <si>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</si>
  <si>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</si>
  <si>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</si>
  <si>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</si>
  <si>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</si>
  <si>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</si>
  <si>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</si>
  <si>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</si>
  <si>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</si>
  <si>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</si>
  <si>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</si>
  <si>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</si>
  <si>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</si>
  <si>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</si>
  <si>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</si>
  <si>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</si>
  <si>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</si>
  <si>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</si>
  <si>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</si>
  <si>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</si>
  <si>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</si>
  <si>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</si>
  <si>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</si>
  <si>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</si>
  <si>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</si>
  <si>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</si>
  <si>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</si>
  <si>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</si>
  <si>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</si>
  <si>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</si>
  <si>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</si>
  <si>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</si>
  <si>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</si>
  <si>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</si>
  <si>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</si>
  <si>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</si>
  <si>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</si>
  <si>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</si>
  <si>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</si>
  <si>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</si>
  <si>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</si>
  <si>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</si>
  <si>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</si>
  <si>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</si>
  <si>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</si>
  <si>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</si>
  <si>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</si>
  <si>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</si>
  <si>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</si>
  <si>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</si>
  <si>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</si>
  <si>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</si>
  <si>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</si>
  <si>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</si>
  <si>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17653 Applying the MVC concept</t>
  </si>
  <si>
    <t>17960 Base graphical element</t>
  </si>
  <si>
    <t>18221 Simple controls</t>
  </si>
  <si>
    <t>18658 Containers</t>
  </si>
  <si>
    <t>18941 Resizable elements</t>
  </si>
  <si>
    <t>19288 Integrating the Model Component into the View Component</t>
  </si>
  <si>
    <t>19979 Customizable and sortable table columns</t>
  </si>
  <si>
    <t>20596 Symbol Correlation Table</t>
  </si>
  <si>
    <t>Base folders</t>
  </si>
  <si>
    <t>Include</t>
  </si>
  <si>
    <t>Exclude</t>
  </si>
  <si>
    <t>*.ex5</t>
  </si>
  <si>
    <t>*.mq5;*.mqh</t>
  </si>
  <si>
    <t>Base_EN.mqh</t>
  </si>
  <si>
    <t>C:\Users\nguye\AppData\Roaming\MetaQuotes\Terminal\D0E8209F77C8CF37AD8BF550E51FF075\MQL5\Include\Vendors\Anhnt\3. MVC Table\20596 Lib</t>
  </si>
  <si>
    <t>Include\Vendors\Anhnt\3. MVC Table\20596 Lib</t>
  </si>
  <si>
    <t>Tables_EN.mqh</t>
  </si>
  <si>
    <t>#include &lt;Vendors\Anhnt\3. MVC Table\20596 Lib\Tables_EN.mqh&gt;</t>
  </si>
  <si>
    <t>Include\Vendors\Anhnt\3. MVC Table\20596 Lib\Controls</t>
  </si>
  <si>
    <t>#include &lt;Vendors\Anhnt\3. MVC Table\20596 Lib\Controls\Base_EN.mqh&gt;</t>
  </si>
  <si>
    <t>Controls_EN.mqh</t>
  </si>
  <si>
    <t>#include &lt;Vendors\Anhnt\3. MVC Table\20596 Lib\Controls\Controls_EN.mqh&gt;</t>
  </si>
  <si>
    <t>base.mqh</t>
  </si>
  <si>
    <t>Class Name</t>
  </si>
  <si>
    <t>DECLARATION</t>
  </si>
  <si>
    <t>IMPLEMENTATION</t>
  </si>
  <si>
    <t>MOVE_TO</t>
  </si>
  <si>
    <t>CTableControl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</si>
</sst>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3" fillId="2" borderId="1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8</xdr:col>
      <xdr:colOff>57150</xdr:colOff>
      <xdr:row>2</xdr:row>
      <xdr:rowOff>97155</xdr:rowOff>
    </xdr:to>
    <xdr:sp macro="[0]!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93080" y="182880"/>
          <a:ext cx="1885950" cy="28003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5</xdr:col>
      <xdr:colOff>6626</xdr:colOff>
      <xdr:row>2</xdr:row>
      <xdr:rowOff>285997</xdr:rowOff>
    </xdr:from>
    <xdr:to>
      <xdr:col>8</xdr:col>
      <xdr:colOff>63776</xdr:colOff>
      <xdr:row>3</xdr:row>
      <xdr:rowOff>16067</xdr:rowOff>
    </xdr:to>
    <xdr:sp macro="[0]!ClearFolders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6016487" y="657058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21153</xdr:colOff>
      <xdr:row>2</xdr:row>
      <xdr:rowOff>245165</xdr:rowOff>
    </xdr:from>
    <xdr:to>
      <xdr:col>12</xdr:col>
      <xdr:colOff>78303</xdr:colOff>
      <xdr:row>3</xdr:row>
      <xdr:rowOff>19878</xdr:rowOff>
    </xdr:to>
    <xdr:sp macro="[0]!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8469414" y="616226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6626</xdr:colOff>
      <xdr:row>4</xdr:row>
      <xdr:rowOff>41060</xdr:rowOff>
    </xdr:from>
    <xdr:to>
      <xdr:col>8</xdr:col>
      <xdr:colOff>63776</xdr:colOff>
      <xdr:row>5</xdr:row>
      <xdr:rowOff>138764</xdr:rowOff>
    </xdr:to>
    <xdr:sp macro="[0]!ClearFile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6016487" y="1147617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41031</xdr:colOff>
      <xdr:row>3</xdr:row>
      <xdr:rowOff>172279</xdr:rowOff>
    </xdr:from>
    <xdr:to>
      <xdr:col>12</xdr:col>
      <xdr:colOff>98181</xdr:colOff>
      <xdr:row>5</xdr:row>
      <xdr:rowOff>125896</xdr:rowOff>
    </xdr:to>
    <xdr:sp macro="[0]!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8489292" y="109330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2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3:D6"/>
  <sheetViews>
    <sheetView zoomScale="115" zoomScaleNormal="115" workbookViewId="0">
      <selection activeCell="J16" sqref="J16"/>
    </sheetView>
  </sheetViews>
  <sheetFormatPr defaultRowHeight="14.4" x14ac:dyDescent="0.3"/>
  <cols>
    <col min="2" max="3" width="8.88671875" style="14"/>
    <col min="4" max="4" width="52.109375" style="14" customWidth="1"/>
  </cols>
  <sheetData>
    <row r="3" spans="2:4" ht="43.2" x14ac:dyDescent="0.3">
      <c r="B3" s="14">
        <v>1</v>
      </c>
      <c r="C3" s="14" t="s">
        <v>42</v>
      </c>
      <c r="D3" s="12" t="s">
        <v>122</v>
      </c>
    </row>
    <row r="5" spans="2:4" x14ac:dyDescent="0.3">
      <c r="B5" s="14">
        <v>2</v>
      </c>
      <c r="C5" s="14" t="s">
        <v>118</v>
      </c>
      <c r="D5" s="14" t="s">
        <v>119</v>
      </c>
    </row>
    <row r="6" spans="2:4" x14ac:dyDescent="0.3">
      <c r="C6" s="14" t="s">
        <v>117</v>
      </c>
      <c r="D6" s="14" t="s">
        <v>120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9"/>
  <sheetViews>
    <sheetView workbookViewId="0">
      <selection activeCell="B19" sqref="B19"/>
    </sheetView>
  </sheetViews>
  <sheetFormatPr defaultRowHeight="14.4" x14ac:dyDescent="0.3"/>
  <cols>
    <col min="1" max="1" width="3.88671875" bestFit="1" customWidth="1"/>
    <col min="2" max="2" width="56.44140625" bestFit="1" customWidth="1"/>
  </cols>
  <sheetData>
    <row r="1" spans="1:3" x14ac:dyDescent="0.3">
      <c r="A1" s="9" t="s">
        <v>13</v>
      </c>
      <c r="B1" s="9" t="s">
        <v>100</v>
      </c>
      <c r="C1" s="9"/>
    </row>
    <row r="2" spans="1:3" x14ac:dyDescent="0.3">
      <c r="A2">
        <v>1</v>
      </c>
      <c r="B2" t="s">
        <v>108</v>
      </c>
    </row>
    <row r="3" spans="1:3" x14ac:dyDescent="0.3">
      <c r="A3">
        <v>2</v>
      </c>
      <c r="B3" t="s">
        <v>109</v>
      </c>
    </row>
    <row r="4" spans="1:3" x14ac:dyDescent="0.3">
      <c r="A4">
        <v>3</v>
      </c>
      <c r="B4" t="s">
        <v>110</v>
      </c>
    </row>
    <row r="5" spans="1:3" x14ac:dyDescent="0.3">
      <c r="A5">
        <v>4</v>
      </c>
      <c r="B5" t="s">
        <v>111</v>
      </c>
    </row>
    <row r="6" spans="1:3" x14ac:dyDescent="0.3">
      <c r="A6">
        <v>5</v>
      </c>
      <c r="B6" t="s">
        <v>112</v>
      </c>
    </row>
    <row r="7" spans="1:3" x14ac:dyDescent="0.3">
      <c r="A7">
        <v>6</v>
      </c>
      <c r="B7" t="s">
        <v>113</v>
      </c>
    </row>
    <row r="8" spans="1:3" x14ac:dyDescent="0.3">
      <c r="A8">
        <v>7</v>
      </c>
      <c r="B8" t="s">
        <v>114</v>
      </c>
    </row>
    <row r="9" spans="1:3" x14ac:dyDescent="0.3">
      <c r="A9">
        <v>8</v>
      </c>
      <c r="B9" t="s">
        <v>115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4"/>
  <sheetViews>
    <sheetView workbookViewId="0">
      <selection activeCell="D4" sqref="D4"/>
    </sheetView>
  </sheetViews>
  <sheetFormatPr defaultRowHeight="14.4" x14ac:dyDescent="0.3"/>
  <cols>
    <col min="1" max="1" width="3.88671875" bestFit="1" customWidth="1"/>
    <col min="2" max="2" width="19.77734375" bestFit="1" customWidth="1"/>
    <col min="3" max="3" width="22.44140625" bestFit="1" customWidth="1"/>
    <col min="4" max="4" width="75.6640625" bestFit="1" customWidth="1"/>
  </cols>
  <sheetData>
    <row r="1" spans="1:4" s="9" customFormat="1" x14ac:dyDescent="0.3">
      <c r="A1" s="9" t="s">
        <v>13</v>
      </c>
      <c r="B1" s="9" t="s">
        <v>116</v>
      </c>
      <c r="C1" s="9" t="s">
        <v>44</v>
      </c>
      <c r="D1" s="9" t="s">
        <v>117</v>
      </c>
    </row>
    <row r="2" spans="1:4" x14ac:dyDescent="0.3">
      <c r="A2">
        <v>1</v>
      </c>
      <c r="B2" t="s">
        <v>123</v>
      </c>
      <c r="C2" t="s">
        <v>124</v>
      </c>
      <c r="D2" t="s">
        <v>125</v>
      </c>
    </row>
    <row r="3" spans="1:4" x14ac:dyDescent="0.3">
      <c r="A3">
        <v>2</v>
      </c>
      <c r="B3" t="s">
        <v>126</v>
      </c>
      <c r="C3" t="s">
        <v>121</v>
      </c>
      <c r="D3" t="s">
        <v>127</v>
      </c>
    </row>
    <row r="4" spans="1:4" x14ac:dyDescent="0.3">
      <c r="A4">
        <v>3</v>
      </c>
      <c r="B4" t="s">
        <v>126</v>
      </c>
      <c r="C4" t="s">
        <v>128</v>
      </c>
      <c r="D4" t="s">
        <v>129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rgb="FFFFFF00"/>
  </sheetPr>
  <dimension ref="A1:G12"/>
  <sheetViews>
    <sheetView topLeftCell="A8" workbookViewId="0">
      <selection activeCell="E3" sqref="E3:E12"/>
    </sheetView>
  </sheetViews>
  <sheetFormatPr defaultRowHeight="14.4" x14ac:dyDescent="0.3"/>
  <cols>
    <col min="1" max="2" width="8.88671875" style="12"/>
    <col min="3" max="3" width="52.88671875" style="12" customWidth="1"/>
    <col min="4" max="4" width="19.109375" style="12" bestFit="1" customWidth="1"/>
    <col min="5" max="5" width="64.5546875" style="12" customWidth="1"/>
    <col min="6" max="6" width="27.33203125" style="12" customWidth="1"/>
    <col min="7" max="7" width="8.88671875" style="12"/>
  </cols>
  <sheetData>
    <row r="1" spans="1:6" x14ac:dyDescent="0.3">
      <c r="A1" s="13" t="s">
        <v>13</v>
      </c>
      <c r="B1" s="13" t="s">
        <v>98</v>
      </c>
      <c r="C1" s="13" t="s">
        <v>43</v>
      </c>
      <c r="D1" s="13" t="s">
        <v>96</v>
      </c>
      <c r="E1" s="13"/>
      <c r="F1" s="13"/>
    </row>
    <row r="2" spans="1:6" ht="57.6" x14ac:dyDescent="0.3">
      <c r="A2" s="12">
        <v>1</v>
      </c>
      <c r="B2" s="12" t="s">
        <v>0</v>
      </c>
      <c r="C2" s="12" t="s">
        <v>95</v>
      </c>
      <c r="D2" s="12" t="s">
        <v>1</v>
      </c>
      <c r="E2" s="12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2" t="s">
        <v>97</v>
      </c>
    </row>
    <row r="3" spans="1:6" ht="57.6" x14ac:dyDescent="0.3">
      <c r="A3" s="12">
        <v>2</v>
      </c>
      <c r="B3" s="12" t="s">
        <v>0</v>
      </c>
      <c r="C3" s="12" t="s">
        <v>95</v>
      </c>
      <c r="D3" s="12" t="s">
        <v>99</v>
      </c>
      <c r="E3" s="12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2" t="s">
        <v>97</v>
      </c>
    </row>
    <row r="4" spans="1:6" ht="57.6" x14ac:dyDescent="0.3">
      <c r="A4" s="12">
        <v>3</v>
      </c>
      <c r="B4" s="12" t="s">
        <v>0</v>
      </c>
      <c r="C4" s="12" t="s">
        <v>95</v>
      </c>
      <c r="D4" s="12" t="s">
        <v>11</v>
      </c>
      <c r="E4" s="12" t="str">
        <f t="shared" si="0"/>
        <v>mklink /J "C:\Users\nguye\AppData\Roaming\MetaQuotes\Terminal\D0E8209F77C8CF37AD8BF550E51FF075\MQL5\Experts\Anatoli Kazharski" "D:\MT5-Dev\Experts\Anatoli Kazharski"</v>
      </c>
      <c r="F4" s="12" t="s">
        <v>97</v>
      </c>
    </row>
    <row r="5" spans="1:6" ht="43.2" x14ac:dyDescent="0.3">
      <c r="A5" s="12">
        <v>4</v>
      </c>
      <c r="B5" s="12" t="s">
        <v>0</v>
      </c>
      <c r="C5" s="12" t="s">
        <v>95</v>
      </c>
      <c r="D5" s="12" t="s">
        <v>101</v>
      </c>
      <c r="E5" s="12" t="str">
        <f t="shared" si="0"/>
        <v>mklink /J "C:\Users\nguye\AppData\Roaming\MetaQuotes\Terminal\D0E8209F77C8CF37AD8BF550E51FF075\MQL5\Experts\Anhnt" "D:\MT5-Dev\Experts\Anhnt"</v>
      </c>
      <c r="F5" s="12" t="s">
        <v>97</v>
      </c>
    </row>
    <row r="6" spans="1:6" ht="57.6" x14ac:dyDescent="0.3">
      <c r="A6" s="12">
        <v>5</v>
      </c>
      <c r="B6" s="12" t="s">
        <v>0</v>
      </c>
      <c r="C6" s="12" t="s">
        <v>95</v>
      </c>
      <c r="D6" s="12" t="s">
        <v>15</v>
      </c>
      <c r="E6" s="12" t="str">
        <f t="shared" si="0"/>
        <v>mklink /J "C:\Users\nguye\AppData\Roaming\MetaQuotes\Terminal\D0E8209F77C8CF37AD8BF550E51FF075\MQL5\Experts\Artyom Trishkin" "D:\MT5-Dev\Experts\Artyom Trishkin"</v>
      </c>
      <c r="F6" s="12" t="s">
        <v>97</v>
      </c>
    </row>
    <row r="7" spans="1:6" ht="57.6" x14ac:dyDescent="0.3">
      <c r="A7" s="12">
        <v>6</v>
      </c>
      <c r="B7" s="12" t="s">
        <v>0</v>
      </c>
      <c r="C7" s="12" t="s">
        <v>95</v>
      </c>
      <c r="D7" s="12" t="s">
        <v>102</v>
      </c>
      <c r="E7" s="12" t="str">
        <f t="shared" si="0"/>
        <v>mklink /J "C:\Users\nguye\AppData\Roaming\MetaQuotes\Terminal\D0E8209F77C8CF37AD8BF550E51FF075\MQL5\Experts\Chacha Ian Maroa" "D:\MT5-Dev\Experts\Chacha Ian Maroa"</v>
      </c>
      <c r="F7" s="12" t="s">
        <v>97</v>
      </c>
    </row>
    <row r="8" spans="1:6" ht="57.6" x14ac:dyDescent="0.3">
      <c r="A8" s="12">
        <v>7</v>
      </c>
      <c r="B8" s="12" t="s">
        <v>0</v>
      </c>
      <c r="C8" s="12" t="s">
        <v>95</v>
      </c>
      <c r="D8" s="12" t="s">
        <v>103</v>
      </c>
      <c r="E8" s="12" t="str">
        <f t="shared" si="0"/>
        <v>mklink /J "C:\Users\nguye\AppData\Roaming\MetaQuotes\Terminal\D0E8209F77C8CF37AD8BF550E51FF075\MQL5\Experts\Christian Benjamin" "D:\MT5-Dev\Experts\Christian Benjamin"</v>
      </c>
      <c r="F8" s="12" t="s">
        <v>97</v>
      </c>
    </row>
    <row r="9" spans="1:6" ht="57.6" x14ac:dyDescent="0.3">
      <c r="A9" s="12">
        <v>8</v>
      </c>
      <c r="B9" s="12" t="s">
        <v>0</v>
      </c>
      <c r="C9" s="12" t="s">
        <v>95</v>
      </c>
      <c r="D9" s="12" t="s">
        <v>104</v>
      </c>
      <c r="E9" s="12" t="str">
        <f t="shared" si="0"/>
        <v>mklink /J "C:\Users\nguye\AppData\Roaming\MetaQuotes\Terminal\D0E8209F77C8CF37AD8BF550E51FF075\MQL5\Experts\Clemence Benjamin" "D:\MT5-Dev\Experts\Clemence Benjamin"</v>
      </c>
      <c r="F9" s="12" t="s">
        <v>97</v>
      </c>
    </row>
    <row r="10" spans="1:6" ht="57.6" x14ac:dyDescent="0.3">
      <c r="A10" s="12">
        <v>9</v>
      </c>
      <c r="B10" s="12" t="s">
        <v>0</v>
      </c>
      <c r="C10" s="12" t="s">
        <v>95</v>
      </c>
      <c r="D10" s="12" t="s">
        <v>105</v>
      </c>
      <c r="E10" s="12" t="str">
        <f t="shared" si="0"/>
        <v>mklink /J "C:\Users\nguye\AppData\Roaming\MetaQuotes\Terminal\D0E8209F77C8CF37AD8BF550E51FF075\MQL5\Experts\Dmitry Voronkov" "D:\MT5-Dev\Experts\Dmitry Voronkov"</v>
      </c>
      <c r="F10" s="12" t="s">
        <v>97</v>
      </c>
    </row>
    <row r="11" spans="1:6" ht="57.6" x14ac:dyDescent="0.3">
      <c r="A11" s="12">
        <v>10</v>
      </c>
      <c r="B11" s="12" t="s">
        <v>0</v>
      </c>
      <c r="C11" s="12" t="s">
        <v>95</v>
      </c>
      <c r="D11" s="12" t="s">
        <v>106</v>
      </c>
      <c r="E11" s="12" t="str">
        <f t="shared" si="0"/>
        <v>mklink /J "C:\Users\nguye\AppData\Roaming\MetaQuotes\Terminal\D0E8209F77C8CF37AD8BF550E51FF075\MQL5\Experts\Hlomohang John Borotho" "D:\MT5-Dev\Experts\Hlomohang John Borotho"</v>
      </c>
      <c r="F11" s="12" t="s">
        <v>97</v>
      </c>
    </row>
    <row r="12" spans="1:6" ht="57.6" x14ac:dyDescent="0.3">
      <c r="B12" s="12" t="s">
        <v>0</v>
      </c>
      <c r="C12" s="12" t="s">
        <v>95</v>
      </c>
      <c r="D12" s="12" t="s">
        <v>107</v>
      </c>
      <c r="E12" s="12" t="str">
        <f t="shared" si="0"/>
        <v>mklink /J "C:\Users\nguye\AppData\Roaming\MetaQuotes\Terminal\D0E8209F77C8CF37AD8BF550E51FF075\MQL5\Experts\joaopedrodev" "D:\MT5-Dev\Experts\joaopedrodev"</v>
      </c>
      <c r="F12" s="12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/>
  <dimension ref="A1:D1"/>
  <sheetViews>
    <sheetView workbookViewId="0">
      <selection sqref="A1:D1"/>
    </sheetView>
  </sheetViews>
  <sheetFormatPr defaultRowHeight="14.4" x14ac:dyDescent="0.3"/>
  <sheetData>
    <row r="1" spans="1:4" x14ac:dyDescent="0.3">
      <c r="A1" t="s">
        <v>13</v>
      </c>
      <c r="B1" s="11" t="s">
        <v>42</v>
      </c>
      <c r="C1" s="10" t="s">
        <v>41</v>
      </c>
      <c r="D1" s="10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dimension ref="B1:I14"/>
  <sheetViews>
    <sheetView tabSelected="1" workbookViewId="0">
      <selection activeCell="G3" sqref="G3"/>
    </sheetView>
  </sheetViews>
  <sheetFormatPr defaultRowHeight="14.4" x14ac:dyDescent="0.3"/>
  <cols>
    <col min="3" max="3" width="10.33203125" bestFit="1" customWidth="1"/>
    <col min="4" max="4" width="27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131</v>
      </c>
    </row>
    <row r="2" spans="2:9" x14ac:dyDescent="0.3">
      <c r="B2" t="s">
        <v>130</v>
      </c>
      <c r="C2" t="str">
        <f>UPPER(SUBSTITUTE(B2,".","_"))</f>
        <v>BASE_MQH</v>
      </c>
      <c r="D2" t="str">
        <f>"#ifndef "&amp;C2</f>
        <v>#ifndef BASE_MQH</v>
      </c>
      <c r="G2" t="s">
        <v>135</v>
      </c>
      <c r="H2" t="str">
        <f>UPPER(G2)</f>
        <v>CTABLECONTROL</v>
      </c>
      <c r="I2" t="str">
        <f>"#ifndef "&amp;$H2</f>
        <v>#ifndef CTABLECONTROL</v>
      </c>
    </row>
    <row r="3" spans="2:9" x14ac:dyDescent="0.3">
      <c r="D3" t="str">
        <f>"#define " &amp; C2</f>
        <v>#define BASE_MQH</v>
      </c>
      <c r="I3" t="str">
        <f>"#define " &amp; $H2</f>
        <v>#define CTABLECONTROL</v>
      </c>
    </row>
    <row r="4" spans="2:9" x14ac:dyDescent="0.3">
      <c r="D4" t="str">
        <f>"#endif // " &amp;C2</f>
        <v>#endif // BASE_MQH</v>
      </c>
      <c r="I4" t="str">
        <f>"#endif // " &amp;$H2</f>
        <v>#endif // CTABLECONTROL</v>
      </c>
    </row>
    <row r="6" spans="2:9" x14ac:dyDescent="0.3">
      <c r="C6" t="s">
        <v>134</v>
      </c>
      <c r="D6" t="str">
        <f>"#ifndef "&amp;C6&amp;"_"&amp;C2</f>
        <v>#ifndef MOVE_TO_BASE_MQH</v>
      </c>
    </row>
    <row r="7" spans="2:9" x14ac:dyDescent="0.3">
      <c r="D7" t="str">
        <f>"#define " &amp; C6&amp;"_"&amp;C2</f>
        <v>#define MOVE_TO_BASE_MQH</v>
      </c>
      <c r="H7" t="s">
        <v>132</v>
      </c>
      <c r="I7" t="str">
        <f>"#ifndef "&amp;$H$2&amp;"_"&amp;$H7</f>
        <v>#ifndef CTABLECONTROL_DECLARATION</v>
      </c>
    </row>
    <row r="8" spans="2:9" x14ac:dyDescent="0.3">
      <c r="D8" t="str">
        <f>"#endif // " &amp;C6&amp;"_"&amp;C2</f>
        <v>#endif // MOVE_TO_BASE_MQH</v>
      </c>
      <c r="I8" t="str">
        <f>"#define " &amp; $H$2&amp;"_"&amp;H7</f>
        <v>#define CTABLECONTROL_DECLARATION</v>
      </c>
    </row>
    <row r="9" spans="2:9" x14ac:dyDescent="0.3">
      <c r="I9" t="str">
        <f>"#endif // " &amp;$H2&amp;"_"&amp;H7</f>
        <v>#endif // CTABLECONTROL_DECLARATION</v>
      </c>
    </row>
    <row r="12" spans="2:9" x14ac:dyDescent="0.3">
      <c r="H12" t="s">
        <v>133</v>
      </c>
      <c r="I12" t="str">
        <f>"#ifndef "&amp;$H$2&amp;"_"&amp;$H12</f>
        <v>#ifndef CTABLECONTROL_IMPLEMENTATION</v>
      </c>
    </row>
    <row r="13" spans="2:9" x14ac:dyDescent="0.3">
      <c r="I13" t="str">
        <f>"#define " &amp; $H$2&amp;"_"&amp;H12</f>
        <v>#define CTABLECONTROL_IMPLEMENTATION</v>
      </c>
    </row>
    <row r="14" spans="2:9" x14ac:dyDescent="0.3">
      <c r="I14" t="str">
        <f>"#endif // " &amp;H2&amp;"_"&amp;H12</f>
        <v>#endif // CTABLECONTROL_IMPLEMENTATION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Folders</vt:lpstr>
      <vt:lpstr>Files</vt:lpstr>
      <vt:lpstr>Conjunction</vt:lpstr>
      <vt:lpstr>Class</vt:lpstr>
      <vt:lpstr>Note</vt:lpstr>
      <vt:lpstr>Refactor</vt:lpstr>
      <vt:lpstr>IncludeGuard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2026-04-02T08:45:08Z</dcterms:modified>
</cp:coreProperties>
</file>