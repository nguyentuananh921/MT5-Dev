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128D950E-8CC4-4A35-8358-678A532D0031}" xr6:coauthVersionLast="47" xr6:coauthVersionMax="47" xr10:uidLastSave="{00000000-0000-0000-0000-000000000000}"/>
  <bookViews>
    <workbookView xWindow="-108" yWindow="-108" windowWidth="23256" windowHeight="12456" tabRatio="78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Conjunction" sheetId="12" r:id="rId5"/>
    <sheet name="Class" sheetId="11" r:id="rId6"/>
    <sheet name="Note" sheetId="1" r:id="rId7"/>
    <sheet name="Refactor" sheetId="8" r:id="rId8"/>
    <sheet name="IncludeGuard" sheetId="14" r:id="rId9"/>
    <sheet name="Enum and Define" sheetId="6" r:id="rId10"/>
    <sheet name="Unique" sheetId="4" r:id="rId11"/>
  </sheets>
  <externalReferences>
    <externalReference r:id="rId12"/>
  </externalReferences>
  <definedNames>
    <definedName name="_xlnm._FilterDatabase" localSheetId="5" hidden="1">Class!$A$1:$G$60</definedName>
    <definedName name="_xlnm._FilterDatabase" localSheetId="6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4" l="1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<sst xmlns="http://schemas.openxmlformats.org/spreadsheetml/2006/main" count="263" uniqueCount="150">
  <si>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</si>
  <si>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</si>
  <si>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</si>
  <si>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</si>
  <si>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</si>
  <si>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</si>
  <si>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</si>
  <si>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</si>
  <si>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</si>
  <si>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</si>
  <si>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</si>
  <si>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</si>
  <si>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</si>
  <si>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</si>
  <si>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</si>
  <si>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</si>
  <si>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</si>
  <si>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</si>
  <si>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</si>
  <si>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</si>
  <si>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</si>
  <si>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</si>
  <si>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</si>
  <si>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</si>
  <si>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</si>
  <si>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</si>
  <si>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</si>
  <si>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</si>
  <si>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</si>
  <si>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</si>
  <si>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</si>
  <si>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</si>
  <si>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</si>
  <si>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</si>
  <si>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</si>
  <si>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</si>
  <si>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</si>
  <si>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</si>
  <si>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</si>
  <si>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</si>
  <si>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</si>
  <si>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</si>
  <si>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</si>
  <si>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</si>
  <si>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</si>
  <si>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</si>
  <si>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</si>
  <si>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</si>
  <si>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</si>
  <si>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</si>
  <si>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</si>
  <si>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</si>
  <si>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</si>
  <si>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</si>
  <si>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</si>
  <si>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</si>
  <si>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</si>
  <si>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</si>
  <si>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</si>
  <si>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</si>
  <si>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</si>
  <si>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</si>
  <si>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</si>
  <si>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</si>
  <si>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</si>
  <si>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</si>
  <si>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</si>
  <si>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</si>
  <si>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</si>
  <si>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</si>
  <si>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</si>
  <si>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</si>
  <si>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</si>
  <si>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</si>
  <si>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</si>
  <si>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</si>
  <si>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</si>
  <si>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</si>
  <si>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</si>
  <si>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</si>
  <si>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</si>
  <si>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</si>
  <si>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</si>
  <si>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</si>
  <si>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</si>
  <si>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</si>
  <si>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</si>
  <si>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</si>
  <si>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</si>
  <si>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</si>
  <si>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</si>
  <si>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</si>
  <si>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</si>
  <si>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</si>
  <si>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</si>
  <si>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</si>
  <si>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</si>
  <si>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</si>
  <si>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</si>
  <si>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</si>
  <si>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</si>
  <si>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</si>
  <si>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</si>
  <si>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</si>
  <si>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</si>
  <si>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</si>
  <si>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</si>
  <si>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</si>
  <si>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</si>
  <si>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</si>
  <si>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</si>
  <si>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*.ex5</t>
  </si>
  <si>
    <t>*.mq5;*.mqh</t>
  </si>
  <si>
    <t>Class Name</t>
  </si>
  <si>
    <t>DECLARATION</t>
  </si>
  <si>
    <t>IMPLEMENTATION</t>
  </si>
  <si>
    <t>MOVE_TO</t>
  </si>
  <si>
    <t>Cengine</t>
  </si>
  <si>
    <t>Tables_EN.mqh</t>
  </si>
  <si>
    <t>Base_EN.mqh</t>
  </si>
  <si>
    <t>Controls_EN.mqh</t>
  </si>
  <si>
    <t>Temp</t>
  </si>
  <si>
    <t>Include\Vendors\Anhnt\Library\3. MVC Table\20596 Refactor\Temp</t>
  </si>
  <si>
    <t>#include &lt;Vendors\Anhnt\Library\3. MVC Table\20596 Refactor\Temp\Base_EN.mqh&gt;</t>
  </si>
  <si>
    <t>#include &lt;Vendors\Anhnt\Library\3. MVC Table\20596 Refactor\Temp\Controls_EN.mqh&gt;</t>
  </si>
  <si>
    <t>#include &lt;Vendors\Anhnt\Library\3. MVC Table\20596 Refactor\Temp\Tables_EN.mqh&gt;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</si>
  <si>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</si>
  <si>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</si>
  <si>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</si>
  <si>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</si>
  <si>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</si>
  <si>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</si>
  <si>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</si>
  <si>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</si>
  <si>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</si>
  <si>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</si>
  <si>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</si>
  <si>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</si>
  <si>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</si>
  <si>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C:\Users\nguye\AppData\Roaming\MetaQuotes\Terminal\D0E8209F77C8CF37AD8BF550E51FF075\MQL5\Include\Vendors\Anhnt\Library\3. MVC Table\20596 Refactor\Services\DELib.mqh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</si>
  <si>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</si>
  <si>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</si>
  <si>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</si>
  <si>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</si>
  <si>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</si>
  <si>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</si>
  <si>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</si>
  <si>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</si>
  <si>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</si>
  <si>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ColumnCaptionView.mqh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</si>
</sst>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251791</xdr:colOff>
      <xdr:row>1</xdr:row>
      <xdr:rowOff>19878</xdr:rowOff>
    </xdr:from>
    <xdr:to>
      <xdr:col>12</xdr:col>
      <xdr:colOff>308941</xdr:colOff>
      <xdr:row>2</xdr:row>
      <xdr:rowOff>117033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8216348" y="205408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5</xdr:col>
      <xdr:colOff>490330</xdr:colOff>
      <xdr:row>3</xdr:row>
      <xdr:rowOff>100467</xdr:rowOff>
    </xdr:from>
    <xdr:to>
      <xdr:col>8</xdr:col>
      <xdr:colOff>547480</xdr:colOff>
      <xdr:row>5</xdr:row>
      <xdr:rowOff>9441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6016487" y="657058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253065</xdr:colOff>
      <xdr:row>3</xdr:row>
      <xdr:rowOff>86139</xdr:rowOff>
    </xdr:from>
    <xdr:to>
      <xdr:col>12</xdr:col>
      <xdr:colOff>310215</xdr:colOff>
      <xdr:row>5</xdr:row>
      <xdr:rowOff>39756</xdr:rowOff>
    </xdr:to>
    <xdr:sp macro="[0]!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8217622" y="642730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477078</xdr:colOff>
      <xdr:row>6</xdr:row>
      <xdr:rowOff>87442</xdr:rowOff>
    </xdr:from>
    <xdr:to>
      <xdr:col>8</xdr:col>
      <xdr:colOff>534228</xdr:colOff>
      <xdr:row>7</xdr:row>
      <xdr:rowOff>185146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6003235" y="1200625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272943</xdr:colOff>
      <xdr:row>6</xdr:row>
      <xdr:rowOff>59635</xdr:rowOff>
    </xdr:from>
    <xdr:to>
      <xdr:col>12</xdr:col>
      <xdr:colOff>330093</xdr:colOff>
      <xdr:row>8</xdr:row>
      <xdr:rowOff>13253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8237500" y="1172818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271671</xdr:colOff>
      <xdr:row>9</xdr:row>
      <xdr:rowOff>26505</xdr:rowOff>
    </xdr:from>
    <xdr:to>
      <xdr:col>12</xdr:col>
      <xdr:colOff>328821</xdr:colOff>
      <xdr:row>9</xdr:row>
      <xdr:rowOff>309190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8236228" y="1696279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5</xdr:col>
      <xdr:colOff>450574</xdr:colOff>
      <xdr:row>9</xdr:row>
      <xdr:rowOff>471528</xdr:rowOff>
    </xdr:from>
    <xdr:to>
      <xdr:col>8</xdr:col>
      <xdr:colOff>507724</xdr:colOff>
      <xdr:row>10</xdr:row>
      <xdr:rowOff>22694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5976731" y="2141302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9</xdr:col>
      <xdr:colOff>266317</xdr:colOff>
      <xdr:row>9</xdr:row>
      <xdr:rowOff>443948</xdr:rowOff>
    </xdr:from>
    <xdr:to>
      <xdr:col>12</xdr:col>
      <xdr:colOff>323467</xdr:colOff>
      <xdr:row>10</xdr:row>
      <xdr:rowOff>39757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8230874" y="211372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483704</xdr:colOff>
      <xdr:row>1</xdr:row>
      <xdr:rowOff>34207</xdr:rowOff>
    </xdr:from>
    <xdr:to>
      <xdr:col>8</xdr:col>
      <xdr:colOff>540854</xdr:colOff>
      <xdr:row>2</xdr:row>
      <xdr:rowOff>128711</xdr:rowOff>
    </xdr:to>
    <xdr:sp macro="[0]!DeleteExcludeFiles_Recursive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6009861" y="219737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Exclude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463825</xdr:colOff>
      <xdr:row>12</xdr:row>
      <xdr:rowOff>1076</xdr:rowOff>
    </xdr:from>
    <xdr:to>
      <xdr:col>8</xdr:col>
      <xdr:colOff>520975</xdr:colOff>
      <xdr:row>13</xdr:row>
      <xdr:rowOff>95580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5989982" y="2770780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9</xdr:col>
      <xdr:colOff>292821</xdr:colOff>
      <xdr:row>11</xdr:row>
      <xdr:rowOff>172278</xdr:rowOff>
    </xdr:from>
    <xdr:to>
      <xdr:col>12</xdr:col>
      <xdr:colOff>349971</xdr:colOff>
      <xdr:row>13</xdr:row>
      <xdr:rowOff>125895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8257378" y="2756452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2"/>
  <sheetViews>
    <sheetView tabSelected="1"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133</v>
      </c>
    </row>
    <row r="3" spans="2:4" x14ac:dyDescent="0.3">
      <c r="B3" s="12">
        <v>1</v>
      </c>
      <c r="C3" s="12" t="s">
        <v>42</v>
      </c>
      <c r="D3" s="10"/>
    </row>
    <row r="5" spans="2:4" x14ac:dyDescent="0.3">
      <c r="B5" s="12">
        <v>2</v>
      </c>
      <c r="C5" s="12" t="s">
        <v>110</v>
      </c>
      <c r="D5" s="13" t="s">
        <v>111</v>
      </c>
    </row>
    <row r="6" spans="2:4" x14ac:dyDescent="0.3">
      <c r="C6" s="12" t="s">
        <v>109</v>
      </c>
      <c r="D6" s="12" t="s">
        <v>112</v>
      </c>
    </row>
    <row r="10" spans="2:4" ht="57.6" x14ac:dyDescent="0.3">
      <c r="B10" s="12">
        <v>3</v>
      </c>
      <c r="C10" s="12" t="s">
        <v>44</v>
      </c>
      <c r="D10" s="10" t="s">
        <v>139</v>
      </c>
    </row>
    <row r="12" spans="2:4" x14ac:dyDescent="0.3">
      <c r="B12" s="12">
        <v>4</v>
      </c>
      <c r="C12" s="12" t="s">
        <v>41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"/>
  <sheetViews>
    <sheetView workbookViewId="0">
      <selection activeCell="B5" sqref="B5"/>
    </sheetView>
  </sheetViews>
  <sheetFormatPr defaultRowHeight="14.4" x14ac:dyDescent="0.3"/>
  <cols>
    <col min="1" max="1" width="3.88671875" bestFit="1" customWidth="1"/>
    <col min="2" max="2" width="56.44140625" bestFit="1" customWidth="1"/>
  </cols>
  <sheetData>
    <row r="1" spans="1:3" x14ac:dyDescent="0.3">
      <c r="A1" s="9" t="s">
        <v>13</v>
      </c>
      <c r="B1" s="9" t="s">
        <v>100</v>
      </c>
      <c r="C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4"/>
  <sheetViews>
    <sheetView workbookViewId="0">
      <selection activeCell="D3" sqref="D3"/>
    </sheetView>
  </sheetViews>
  <sheetFormatPr defaultRowHeight="14.4" x14ac:dyDescent="0.3"/>
  <cols>
    <col min="1" max="1" width="3.88671875" bestFit="1" customWidth="1"/>
    <col min="2" max="2" width="57.66406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122</v>
      </c>
      <c r="C2" t="s">
        <v>119</v>
      </c>
      <c r="D2" t="s">
        <v>123</v>
      </c>
    </row>
    <row r="3" spans="1:4" x14ac:dyDescent="0.3">
      <c r="A3">
        <v>2</v>
      </c>
      <c r="B3" t="s">
        <v>122</v>
      </c>
      <c r="C3" t="s">
        <v>120</v>
      </c>
      <c r="D3" t="s">
        <v>124</v>
      </c>
    </row>
    <row r="4" spans="1:4" x14ac:dyDescent="0.3">
      <c r="A4">
        <v>3</v>
      </c>
      <c r="B4" t="s">
        <v>122</v>
      </c>
      <c r="C4" t="s">
        <v>118</v>
      </c>
      <c r="D4" t="s">
        <v>125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0"/>
  <sheetViews>
    <sheetView workbookViewId="0">
      <selection activeCell="D3" sqref="D3:D6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16.5546875" style="10" bestFit="1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x14ac:dyDescent="0.3">
      <c r="A2" s="10">
        <v>1</v>
      </c>
      <c r="B2" s="10" t="s">
        <v>135</v>
      </c>
      <c r="C2" s="10" t="s">
        <v>134</v>
      </c>
      <c r="D2" s="10" t="s">
        <v>140</v>
      </c>
    </row>
    <row r="3" spans="1:4" x14ac:dyDescent="0.3">
      <c r="A3" s="10">
        <v>2</v>
      </c>
      <c r="B3" s="10" t="s">
        <v>126</v>
      </c>
      <c r="C3" s="10" t="s">
        <v>128</v>
      </c>
      <c r="D3" s="10" t="s">
        <v>141</v>
      </c>
    </row>
    <row r="4" spans="1:4" x14ac:dyDescent="0.3">
      <c r="A4" s="10">
        <v>3</v>
      </c>
      <c r="B4" s="10" t="s">
        <v>126</v>
      </c>
      <c r="C4" s="10" t="s">
        <v>129</v>
      </c>
      <c r="D4" s="10" t="s">
        <v>142</v>
      </c>
    </row>
    <row r="5" spans="1:4" x14ac:dyDescent="0.3">
      <c r="A5" s="10">
        <v>4</v>
      </c>
      <c r="B5" s="10" t="s">
        <v>137</v>
      </c>
      <c r="C5" s="10" t="s">
        <v>136</v>
      </c>
      <c r="D5" s="10" t="s">
        <v>143</v>
      </c>
    </row>
    <row r="6" spans="1:4" x14ac:dyDescent="0.3">
      <c r="A6" s="10">
        <v>5</v>
      </c>
      <c r="B6" s="10" t="s">
        <v>137</v>
      </c>
      <c r="C6" s="10" t="s">
        <v>138</v>
      </c>
      <c r="D6" s="10" t="s">
        <v>144</v>
      </c>
    </row>
    <row r="7" spans="1:4" x14ac:dyDescent="0.3">
      <c r="A7" s="10">
        <v>6</v>
      </c>
      <c r="B7" s="10" t="s">
        <v>121</v>
      </c>
      <c r="C7" s="10" t="s">
        <v>119</v>
      </c>
      <c r="D7" s="10" t="s">
        <v>145</v>
      </c>
    </row>
    <row r="8" spans="1:4" x14ac:dyDescent="0.3">
      <c r="A8" s="10">
        <v>7</v>
      </c>
      <c r="B8" s="10" t="s">
        <v>121</v>
      </c>
      <c r="C8" s="10" t="s">
        <v>120</v>
      </c>
      <c r="D8" s="10" t="s">
        <v>146</v>
      </c>
    </row>
    <row r="9" spans="1:4" x14ac:dyDescent="0.3">
      <c r="A9" s="10">
        <v>8</v>
      </c>
      <c r="B9" s="10" t="s">
        <v>121</v>
      </c>
      <c r="C9" s="10" t="s">
        <v>127</v>
      </c>
      <c r="D9" s="10" t="s">
        <v>147</v>
      </c>
    </row>
    <row r="10" spans="1:4" x14ac:dyDescent="0.3">
      <c r="A10" s="10">
        <v>9</v>
      </c>
      <c r="B10" s="10" t="s">
        <v>121</v>
      </c>
      <c r="C10" s="10" t="s">
        <v>118</v>
      </c>
      <c r="D10" s="10" t="s">
        <v>148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1"/>
  <sheetViews>
    <sheetView workbookViewId="0">
      <selection sqref="A1:XFD1"/>
    </sheetView>
  </sheetViews>
  <sheetFormatPr defaultRowHeight="14.4" x14ac:dyDescent="0.3"/>
  <cols>
    <col min="1" max="1" width="3.88671875" bestFit="1" customWidth="1"/>
    <col min="2" max="2" width="10" bestFit="1" customWidth="1"/>
    <col min="3" max="3" width="15.77734375" bestFit="1" customWidth="1"/>
    <col min="4" max="4" width="21.109375" bestFit="1" customWidth="1"/>
    <col min="5" max="5" width="15.33203125" bestFit="1" customWidth="1"/>
    <col min="6" max="6" width="36.109375" bestFit="1" customWidth="1"/>
    <col min="7" max="7" width="77.77734375" bestFit="1" customWidth="1"/>
    <col min="8" max="8" width="95" bestFit="1" customWidth="1"/>
  </cols>
  <sheetData>
    <row r="1" spans="1:7" s="9" customFormat="1" x14ac:dyDescent="0.3">
      <c r="A1" s="9" t="s">
        <v>13</v>
      </c>
      <c r="B1" s="9" t="s">
        <v>42</v>
      </c>
      <c r="C1" s="9" t="s">
        <v>131</v>
      </c>
      <c r="D1" s="9" t="s">
        <v>41</v>
      </c>
      <c r="E1" s="9" t="s">
        <v>40</v>
      </c>
      <c r="F1" s="9" t="s">
        <v>130</v>
      </c>
      <c r="G1" s="9" t="s">
        <v>132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4"/>
  <sheetViews>
    <sheetView workbookViewId="0">
      <selection activeCell="D2" sqref="D2:D8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113</v>
      </c>
    </row>
    <row r="2" spans="2:9" x14ac:dyDescent="0.3">
      <c r="B2" t="s">
        <v>149</v>
      </c>
      <c r="C2" t="str">
        <f>UPPER(SUBSTITUTE(B2,".","_"))</f>
        <v>COLUMNCAPTIONVIEW_MQH</v>
      </c>
      <c r="D2" t="str">
        <f>"#ifndef __"&amp;C$2&amp;"__"</f>
        <v>#ifndef __COLUMNCAPTIONVIEW_MQH__</v>
      </c>
      <c r="G2" t="s">
        <v>117</v>
      </c>
      <c r="H2" t="str">
        <f>UPPER(G2)</f>
        <v>CENGINE</v>
      </c>
      <c r="I2" t="str">
        <f>"#ifndef "&amp;$H2</f>
        <v>#ifndef CENGINE</v>
      </c>
    </row>
    <row r="3" spans="2:9" x14ac:dyDescent="0.3">
      <c r="D3" t="str">
        <f>"#define __" &amp; C2&amp;"__"</f>
        <v>#define __COLUMNCAPTIONVIEW_MQH__</v>
      </c>
      <c r="I3" t="str">
        <f>"#define " &amp; $H2</f>
        <v>#define CENGINE</v>
      </c>
    </row>
    <row r="4" spans="2:9" x14ac:dyDescent="0.3">
      <c r="D4" t="str">
        <f>"#endif // __" &amp;C2&amp;"__"</f>
        <v>#endif // __COLUMNCAPTIONVIEW_MQH__</v>
      </c>
      <c r="I4" t="str">
        <f>"#endif // " &amp;$H2</f>
        <v>#endif // CENGINE</v>
      </c>
    </row>
    <row r="6" spans="2:9" x14ac:dyDescent="0.3">
      <c r="C6" t="s">
        <v>116</v>
      </c>
      <c r="D6" t="str">
        <f>"#ifndef "&amp;C6&amp;"_"&amp;C2</f>
        <v>#ifndef MOVE_TO_COLUMNCAPTIONVIEW_MQH</v>
      </c>
    </row>
    <row r="7" spans="2:9" x14ac:dyDescent="0.3">
      <c r="D7" t="str">
        <f>"#define " &amp; C6&amp;"_"&amp;C2</f>
        <v>#define MOVE_TO_COLUMNCAPTIONVIEW_MQH</v>
      </c>
      <c r="H7" t="s">
        <v>114</v>
      </c>
      <c r="I7" t="str">
        <f>"#ifndef "&amp;$H$2&amp;"_"&amp;$H7</f>
        <v>#ifndef CENGINE_DECLARATION</v>
      </c>
    </row>
    <row r="8" spans="2:9" x14ac:dyDescent="0.3">
      <c r="D8" t="str">
        <f>"#endif // " &amp;C6&amp;"_"&amp;C2</f>
        <v>#endif // MOVE_TO_COLUMNCAPTIONVIEW_MQH</v>
      </c>
      <c r="I8" t="str">
        <f>"#define " &amp; $H$2&amp;"_"&amp;H7</f>
        <v>#define CENGINE_DECLARATION</v>
      </c>
    </row>
    <row r="9" spans="2:9" x14ac:dyDescent="0.3">
      <c r="I9" t="str">
        <f>"#endif // " &amp;$H2&amp;"_"&amp;H7</f>
        <v>#endif // CENGINE_DECLARATION</v>
      </c>
    </row>
    <row r="12" spans="2:9" x14ac:dyDescent="0.3">
      <c r="H12" t="s">
        <v>115</v>
      </c>
      <c r="I12" t="str">
        <f>"#ifndef "&amp;$H$2&amp;"_"&amp;$H12</f>
        <v>#ifndef CENGINE_IMPLEMENTATION</v>
      </c>
    </row>
    <row r="13" spans="2:9" x14ac:dyDescent="0.3">
      <c r="I13" t="str">
        <f>"#define " &amp; $H$2&amp;"_"&amp;H12</f>
        <v>#define CENGINE_IMPLEMENTATION</v>
      </c>
    </row>
    <row r="14" spans="2:9" x14ac:dyDescent="0.3">
      <c r="I14" t="str">
        <f>"#endif // " &amp;H2&amp;"_"&amp;H12</f>
        <v>#endif // CENGINE_IMPLEMENTATION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Folders</vt:lpstr>
      <vt:lpstr>Files</vt:lpstr>
      <vt:lpstr>RelativeInclude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2026-04-04T13:13:28Z</dcterms:modified>
</cp:coreProperties>
</file>