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AAEB2083-2BCC-4194-B12C-BC9282CBFD78}" xr6:coauthVersionLast="47" xr6:coauthVersionMax="47" xr10:uidLastSave="{00000000-0000-0000-0000-000000000000}"/>
  <bookViews>
    <workbookView xWindow="0" yWindow="0" windowWidth="23040" windowHeight="12240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Conjunction" sheetId="12" r:id="rId5"/>
    <sheet name="Class" sheetId="11" r:id="rId6"/>
    <sheet name="Note" sheetId="1" r:id="rId7"/>
    <sheet name="Refactor" sheetId="8" r:id="rId8"/>
    <sheet name="IncludeGuard" sheetId="14" r:id="rId9"/>
    <sheet name="Enum and Define" sheetId="6" r:id="rId10"/>
    <sheet name="Unique" sheetId="4" r:id="rId11"/>
  </sheets>
  <externalReferences>
    <externalReference r:id="rId12"/>
  </externalReferences>
  <definedNames>
    <definedName name="_xlnm._FilterDatabase" localSheetId="5" hidden="1">Class!$A$1:$G$63</definedName>
    <definedName name="_xlnm._FilterDatabase" localSheetId="2" hidden="1">Files!$A$1:$D$1</definedName>
    <definedName name="_xlnm._FilterDatabase" localSheetId="6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4" l="1"/>
  <c r="C10" i="14"/>
  <c r="H2" i="14" l="1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<sst xmlns="http://schemas.openxmlformats.org/spreadsheetml/2006/main" count="350" uniqueCount="182">
  <si>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</si>
  <si>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</si>
  <si>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</si>
  <si>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</si>
  <si>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</si>
  <si>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</si>
  <si>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</si>
  <si>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</si>
  <si>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</si>
  <si>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</si>
  <si>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</si>
  <si>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</si>
  <si>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</si>
  <si>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</si>
  <si>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</si>
  <si>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</si>
  <si>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</si>
  <si>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</si>
  <si>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</si>
  <si>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</si>
  <si>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</si>
  <si>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</si>
  <si>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</si>
  <si>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</si>
  <si>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</si>
  <si>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</si>
  <si>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</si>
  <si>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</si>
  <si>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</si>
  <si>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</si>
  <si>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</si>
  <si>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</si>
  <si>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</si>
  <si>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</si>
  <si>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</si>
  <si>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</si>
  <si>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</si>
  <si>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</si>
  <si>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</si>
  <si>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</si>
  <si>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</si>
  <si>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</si>
  <si>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</si>
  <si>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</si>
  <si>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</si>
  <si>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</si>
  <si>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</si>
  <si>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</si>
  <si>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</si>
  <si>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</si>
  <si>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</si>
  <si>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</si>
  <si>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</si>
  <si>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</si>
  <si>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</si>
  <si>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</si>
  <si>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</si>
  <si>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</si>
  <si>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</si>
  <si>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</si>
  <si>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</si>
  <si>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</si>
  <si>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</si>
  <si>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</si>
  <si>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</si>
  <si>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</si>
  <si>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</si>
  <si>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</si>
  <si>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</si>
  <si>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</si>
  <si>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</si>
  <si>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</si>
  <si>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</si>
  <si>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</si>
  <si>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</si>
  <si>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</si>
  <si>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</si>
  <si>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</si>
  <si>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</si>
  <si>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</si>
  <si>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</si>
  <si>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</si>
  <si>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</si>
  <si>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</si>
  <si>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</si>
  <si>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</si>
  <si>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</si>
  <si>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</si>
  <si>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</si>
  <si>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</si>
  <si>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</si>
  <si>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</si>
  <si>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</si>
  <si>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</si>
  <si>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</si>
  <si>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</si>
  <si>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</si>
  <si>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</si>
  <si>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</si>
  <si>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</si>
  <si>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</si>
  <si>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</si>
  <si>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</si>
  <si>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</si>
  <si>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</si>
  <si>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</si>
  <si>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</si>
  <si>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</si>
  <si>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</si>
  <si>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</si>
  <si>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</si>
  <si>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*.ex5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</si>
  <si>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</si>
  <si>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</si>
  <si>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</si>
  <si>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</si>
  <si>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</si>
  <si>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</si>
  <si>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</si>
  <si>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</si>
  <si>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Temp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</si>
  <si>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</si>
  <si>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</si>
  <si>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</si>
  <si>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</si>
  <si>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</si>
  <si>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</si>
  <si>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</si>
  <si>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</si>
  <si>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</si>
  <si>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</si>
  <si>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</si>
  <si>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</si>
  <si>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</si>
  <si>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</si>
  <si>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</si>
  <si>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</si>
  <si>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</si>
  <si>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</si>
  <si>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</si>
  <si>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</si>
  <si>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</si>
  <si>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</si>
  <si>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</si>
  <si>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</si>
  <si>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CBaseObjExt</t>
  </si>
  <si>
    <t>CButton</t>
  </si>
  <si>
    <t>CLabel</t>
  </si>
  <si>
    <t>CCheckBox</t>
  </si>
  <si>
    <t>CRadioButton</t>
  </si>
  <si>
    <t>CCanvasBase</t>
  </si>
  <si>
    <t>CButtonArrowDown</t>
  </si>
  <si>
    <t>CButtonArrowLeft</t>
  </si>
  <si>
    <t>CButtonArrowRight</t>
  </si>
  <si>
    <t>CButtonArrowUp</t>
  </si>
  <si>
    <t>CButtonTriggered</t>
  </si>
  <si>
    <t>CBaseObj</t>
  </si>
  <si>
    <t>CObject</t>
  </si>
  <si>
    <t>CBound</t>
  </si>
  <si>
    <t>CColor</t>
  </si>
  <si>
    <t>CColorElement</t>
  </si>
  <si>
    <t>CImagePainter</t>
  </si>
  <si>
    <t>Controls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</si>
  <si>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</si>
  <si>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</si>
  <si>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</si>
  <si>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</si>
  <si>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</si>
  <si>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</si>
  <si>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</si>
  <si>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</si>
  <si>
    <t>C:\Users\nguye\AppData\Roaming\MetaQuotes\Terminal\D0E8209F77C8CF37AD8BF550E51FF075\MQL5\Experts\Anhnt\Example\3. MVC Table\18221 Simple controls\18221 Lib\CreateGUI.mqh</t>
  </si>
  <si>
    <t>18221 iTestLabel_EN.mq5</t>
  </si>
  <si>
    <t>#include "..\..\..\..\..\Artyom Trishkin\3. Tables in the MVC\18221 Simple controls\Original English\18221 iTestLabel_EN.mq5"</t>
  </si>
  <si>
    <t>#include "..\..\..\..\..\Artyom Trishkin\3. Tables in the MVC\18221 Simple controls\Original English\Controls\Base_EN.mqh"</t>
  </si>
  <si>
    <t>#include "..\..\..\..\..\Artyom Trishkin\3. Tables in the MVC\18221 Simple controls\Original English\Controls\Controls_EN.mqh"</t>
  </si>
  <si>
    <t>iTestLabel — копия_EN.mq5</t>
  </si>
  <si>
    <t>#include "..\..\..\..\..\Artyom Trishkin\3. Tables in the MVC\18221 Simple controls\Original English\Controls\iTestLabel — копия_EN.mq5"</t>
  </si>
  <si>
    <t>C:\Users\nguye\AppData\Roaming\MetaQuotes\Terminal\D0E8209F77C8CF37AD8BF550E51FF075\MQL5\Include\Vendors\Anhnt\Library\3. MVC Table\18221 Lib</t>
  </si>
  <si>
    <t>Include\Vendors\Anhnt\Library\3. MVC Table\18221 Lib</t>
  </si>
  <si>
    <t>#include &lt;Vendors\Anhnt\Library\3. MVC Table\18221 Lib\Base_EN.mqh&gt;</t>
  </si>
  <si>
    <t>#include &lt;Vendors\Anhnt\Library\3. MVC Table\18221 Lib\Controls_EN.mqh&gt;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</si>
</sst>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251791</xdr:colOff>
      <xdr:row>1</xdr:row>
      <xdr:rowOff>19878</xdr:rowOff>
    </xdr:from>
    <xdr:to>
      <xdr:col>12</xdr:col>
      <xdr:colOff>308941</xdr:colOff>
      <xdr:row>2</xdr:row>
      <xdr:rowOff>117033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8216348" y="205408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490330</xdr:colOff>
      <xdr:row>2</xdr:row>
      <xdr:rowOff>285997</xdr:rowOff>
    </xdr:from>
    <xdr:to>
      <xdr:col>8</xdr:col>
      <xdr:colOff>547480</xdr:colOff>
      <xdr:row>3</xdr:row>
      <xdr:rowOff>16067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253065</xdr:colOff>
      <xdr:row>2</xdr:row>
      <xdr:rowOff>271669</xdr:rowOff>
    </xdr:from>
    <xdr:to>
      <xdr:col>12</xdr:col>
      <xdr:colOff>310215</xdr:colOff>
      <xdr:row>3</xdr:row>
      <xdr:rowOff>46382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217622" y="642730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477078</xdr:colOff>
      <xdr:row>4</xdr:row>
      <xdr:rowOff>94068</xdr:rowOff>
    </xdr:from>
    <xdr:to>
      <xdr:col>8</xdr:col>
      <xdr:colOff>534228</xdr:colOff>
      <xdr:row>6</xdr:row>
      <xdr:rowOff>6242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03235" y="1200625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272943</xdr:colOff>
      <xdr:row>4</xdr:row>
      <xdr:rowOff>66261</xdr:rowOff>
    </xdr:from>
    <xdr:to>
      <xdr:col>12</xdr:col>
      <xdr:colOff>330093</xdr:colOff>
      <xdr:row>6</xdr:row>
      <xdr:rowOff>19879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237500" y="1172818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271671</xdr:colOff>
      <xdr:row>7</xdr:row>
      <xdr:rowOff>33131</xdr:rowOff>
    </xdr:from>
    <xdr:to>
      <xdr:col>12</xdr:col>
      <xdr:colOff>328821</xdr:colOff>
      <xdr:row>8</xdr:row>
      <xdr:rowOff>130286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8236228" y="1696279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5</xdr:col>
      <xdr:colOff>450574</xdr:colOff>
      <xdr:row>9</xdr:row>
      <xdr:rowOff>107093</xdr:rowOff>
    </xdr:from>
    <xdr:to>
      <xdr:col>8</xdr:col>
      <xdr:colOff>507724</xdr:colOff>
      <xdr:row>9</xdr:row>
      <xdr:rowOff>387128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5976731" y="2141302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9</xdr:col>
      <xdr:colOff>266317</xdr:colOff>
      <xdr:row>9</xdr:row>
      <xdr:rowOff>79513</xdr:rowOff>
    </xdr:from>
    <xdr:to>
      <xdr:col>12</xdr:col>
      <xdr:colOff>323467</xdr:colOff>
      <xdr:row>9</xdr:row>
      <xdr:rowOff>404191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8230874" y="211372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483704</xdr:colOff>
      <xdr:row>1</xdr:row>
      <xdr:rowOff>34207</xdr:rowOff>
    </xdr:from>
    <xdr:to>
      <xdr:col>8</xdr:col>
      <xdr:colOff>540854</xdr:colOff>
      <xdr:row>2</xdr:row>
      <xdr:rowOff>128711</xdr:rowOff>
    </xdr:to>
    <xdr:sp macro="[0]!DeleteExcludeFiles_Recursive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6009861" y="219737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Exclude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463825</xdr:colOff>
      <xdr:row>10</xdr:row>
      <xdr:rowOff>7702</xdr:rowOff>
    </xdr:from>
    <xdr:to>
      <xdr:col>8</xdr:col>
      <xdr:colOff>520975</xdr:colOff>
      <xdr:row>11</xdr:row>
      <xdr:rowOff>102206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5989982" y="2770780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292821</xdr:colOff>
      <xdr:row>9</xdr:row>
      <xdr:rowOff>722243</xdr:rowOff>
    </xdr:from>
    <xdr:to>
      <xdr:col>12</xdr:col>
      <xdr:colOff>349971</xdr:colOff>
      <xdr:row>11</xdr:row>
      <xdr:rowOff>132521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8257378" y="275645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2"/>
  <sheetViews>
    <sheetView zoomScale="115" zoomScaleNormal="115" workbookViewId="0">
      <selection activeCell="O10" sqref="O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128</v>
      </c>
    </row>
    <row r="3" spans="2:4" ht="43.2" x14ac:dyDescent="0.3">
      <c r="B3" s="12">
        <v>1</v>
      </c>
      <c r="C3" s="12" t="s">
        <v>42</v>
      </c>
      <c r="D3" s="10" t="s">
        <v>178</v>
      </c>
    </row>
    <row r="5" spans="2:4" x14ac:dyDescent="0.3">
      <c r="B5" s="12">
        <v>2</v>
      </c>
      <c r="C5" s="12" t="s">
        <v>110</v>
      </c>
      <c r="D5" s="13" t="s">
        <v>111</v>
      </c>
    </row>
    <row r="6" spans="2:4" x14ac:dyDescent="0.3">
      <c r="C6" s="12" t="s">
        <v>109</v>
      </c>
      <c r="D6" s="12" t="s">
        <v>112</v>
      </c>
    </row>
    <row r="10" spans="2:4" ht="57.6" x14ac:dyDescent="0.3">
      <c r="B10" s="12">
        <v>3</v>
      </c>
      <c r="C10" s="12" t="s">
        <v>44</v>
      </c>
      <c r="D10" s="10" t="s">
        <v>171</v>
      </c>
    </row>
    <row r="12" spans="2:4" x14ac:dyDescent="0.3">
      <c r="B12" s="12">
        <v>4</v>
      </c>
      <c r="C12" s="12" t="s">
        <v>41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workbookViewId="0">
      <selection activeCell="A2" sqref="A2:B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  <row r="2" spans="1:3" x14ac:dyDescent="0.3">
      <c r="A2">
        <v>1</v>
      </c>
      <c r="B2" t="s">
        <v>163</v>
      </c>
    </row>
    <row r="3" spans="1:3" x14ac:dyDescent="0.3">
      <c r="A3">
        <v>2</v>
      </c>
      <c r="B3" t="s">
        <v>164</v>
      </c>
    </row>
    <row r="4" spans="1:3" x14ac:dyDescent="0.3">
      <c r="A4">
        <v>3</v>
      </c>
      <c r="B4" t="s">
        <v>165</v>
      </c>
    </row>
    <row r="5" spans="1:3" x14ac:dyDescent="0.3">
      <c r="A5">
        <v>4</v>
      </c>
      <c r="B5" t="s">
        <v>166</v>
      </c>
    </row>
    <row r="6" spans="1:3" x14ac:dyDescent="0.3">
      <c r="A6">
        <v>5</v>
      </c>
      <c r="B6" t="s">
        <v>167</v>
      </c>
    </row>
    <row r="7" spans="1:3" x14ac:dyDescent="0.3">
      <c r="A7">
        <v>6</v>
      </c>
      <c r="B7" t="s">
        <v>168</v>
      </c>
    </row>
    <row r="8" spans="1:3" x14ac:dyDescent="0.3">
      <c r="A8">
        <v>7</v>
      </c>
      <c r="B8" t="s">
        <v>169</v>
      </c>
    </row>
    <row r="9" spans="1:3" x14ac:dyDescent="0.3">
      <c r="A9">
        <v>8</v>
      </c>
      <c r="B9" t="s">
        <v>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"/>
  <sheetViews>
    <sheetView tabSelected="1" workbookViewId="0">
      <selection activeCell="D3" sqref="D3"/>
    </sheetView>
  </sheetViews>
  <sheetFormatPr defaultRowHeight="14.4" x14ac:dyDescent="0.3"/>
  <cols>
    <col min="1" max="1" width="3.88671875" bestFit="1" customWidth="1"/>
    <col min="2" max="2" width="57.66406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179</v>
      </c>
      <c r="C2" t="s">
        <v>118</v>
      </c>
      <c r="D2" t="s">
        <v>180</v>
      </c>
    </row>
    <row r="3" spans="1:4" x14ac:dyDescent="0.3">
      <c r="A3">
        <v>2</v>
      </c>
      <c r="B3" t="s">
        <v>179</v>
      </c>
      <c r="C3" t="s">
        <v>119</v>
      </c>
      <c r="D3" t="s">
        <v>181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0"/>
  <sheetViews>
    <sheetView workbookViewId="0">
      <selection activeCell="C9" sqref="C9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16.5546875" style="10" bestFit="1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130</v>
      </c>
      <c r="C2" s="10" t="s">
        <v>129</v>
      </c>
      <c r="D2" s="10" t="s">
        <v>134</v>
      </c>
    </row>
    <row r="3" spans="1:4" x14ac:dyDescent="0.3">
      <c r="A3" s="10">
        <v>2</v>
      </c>
      <c r="B3" s="10" t="s">
        <v>121</v>
      </c>
      <c r="C3" s="10" t="s">
        <v>123</v>
      </c>
      <c r="D3" s="10" t="s">
        <v>135</v>
      </c>
    </row>
    <row r="4" spans="1:4" x14ac:dyDescent="0.3">
      <c r="A4" s="10">
        <v>3</v>
      </c>
      <c r="B4" s="10" t="s">
        <v>121</v>
      </c>
      <c r="C4" s="10" t="s">
        <v>124</v>
      </c>
      <c r="D4" s="10" t="s">
        <v>136</v>
      </c>
    </row>
    <row r="5" spans="1:4" x14ac:dyDescent="0.3">
      <c r="A5" s="10">
        <v>4</v>
      </c>
      <c r="B5" s="10" t="s">
        <v>132</v>
      </c>
      <c r="C5" s="10" t="s">
        <v>131</v>
      </c>
      <c r="D5" s="10" t="s">
        <v>137</v>
      </c>
    </row>
    <row r="6" spans="1:4" x14ac:dyDescent="0.3">
      <c r="A6" s="10">
        <v>5</v>
      </c>
      <c r="B6" s="10" t="s">
        <v>132</v>
      </c>
      <c r="C6" s="10" t="s">
        <v>133</v>
      </c>
      <c r="D6" s="10" t="s">
        <v>138</v>
      </c>
    </row>
    <row r="7" spans="1:4" x14ac:dyDescent="0.3">
      <c r="A7" s="10">
        <v>6</v>
      </c>
      <c r="B7" s="10" t="s">
        <v>120</v>
      </c>
      <c r="C7" s="10" t="s">
        <v>118</v>
      </c>
      <c r="D7" s="10" t="s">
        <v>139</v>
      </c>
    </row>
    <row r="8" spans="1:4" x14ac:dyDescent="0.3">
      <c r="A8" s="10">
        <v>7</v>
      </c>
      <c r="B8" s="10" t="s">
        <v>120</v>
      </c>
      <c r="C8" s="10" t="s">
        <v>119</v>
      </c>
      <c r="D8" s="10" t="s">
        <v>140</v>
      </c>
    </row>
    <row r="9" spans="1:4" x14ac:dyDescent="0.3">
      <c r="A9" s="10">
        <v>8</v>
      </c>
      <c r="B9" s="10" t="s">
        <v>120</v>
      </c>
      <c r="C9" s="10" t="s">
        <v>122</v>
      </c>
      <c r="D9" s="10" t="s">
        <v>141</v>
      </c>
    </row>
    <row r="10" spans="1:4" x14ac:dyDescent="0.3">
      <c r="A10" s="10">
        <v>9</v>
      </c>
      <c r="B10" s="10" t="s">
        <v>120</v>
      </c>
      <c r="C10" s="10" t="s">
        <v>117</v>
      </c>
      <c r="D10" s="10" t="s">
        <v>142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8"/>
  <sheetViews>
    <sheetView workbookViewId="0">
      <pane ySplit="1" topLeftCell="A2" activePane="bottomLeft" state="frozen"/>
      <selection pane="bottomLeft" activeCell="B1" sqref="B1:E1048576"/>
    </sheetView>
  </sheetViews>
  <sheetFormatPr defaultRowHeight="14.4" x14ac:dyDescent="0.3"/>
  <cols>
    <col min="1" max="1" width="6.109375" style="10" bestFit="1" customWidth="1"/>
    <col min="2" max="2" width="25.44140625" style="10" bestFit="1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126</v>
      </c>
      <c r="D1" s="11" t="s">
        <v>41</v>
      </c>
      <c r="E1" s="11" t="s">
        <v>40</v>
      </c>
      <c r="F1" s="11" t="s">
        <v>125</v>
      </c>
      <c r="G1" s="11" t="s">
        <v>127</v>
      </c>
    </row>
    <row r="2" spans="1:7" ht="43.2" x14ac:dyDescent="0.3">
      <c r="A2" s="10">
        <v>1</v>
      </c>
      <c r="C2" s="10" t="s">
        <v>172</v>
      </c>
      <c r="F2" s="10" t="s">
        <v>173</v>
      </c>
    </row>
    <row r="3" spans="1:7" ht="43.2" x14ac:dyDescent="0.3">
      <c r="A3" s="10">
        <v>2</v>
      </c>
      <c r="B3" s="10" t="s">
        <v>162</v>
      </c>
      <c r="C3" s="10" t="s">
        <v>118</v>
      </c>
      <c r="D3" s="10" t="s">
        <v>156</v>
      </c>
      <c r="E3" s="10" t="s">
        <v>157</v>
      </c>
      <c r="F3" s="10" t="s">
        <v>174</v>
      </c>
    </row>
    <row r="4" spans="1:7" ht="43.2" x14ac:dyDescent="0.3">
      <c r="A4" s="10">
        <v>3</v>
      </c>
      <c r="B4" s="10" t="s">
        <v>162</v>
      </c>
      <c r="C4" s="10" t="s">
        <v>118</v>
      </c>
      <c r="D4" s="10" t="s">
        <v>159</v>
      </c>
      <c r="E4" s="10" t="s">
        <v>156</v>
      </c>
      <c r="F4" s="10" t="s">
        <v>174</v>
      </c>
    </row>
    <row r="5" spans="1:7" ht="43.2" x14ac:dyDescent="0.3">
      <c r="A5" s="10">
        <v>4</v>
      </c>
      <c r="B5" s="10" t="s">
        <v>162</v>
      </c>
      <c r="C5" s="10" t="s">
        <v>118</v>
      </c>
      <c r="D5" s="10" t="s">
        <v>160</v>
      </c>
      <c r="E5" s="10" t="s">
        <v>156</v>
      </c>
      <c r="F5" s="10" t="s">
        <v>174</v>
      </c>
    </row>
    <row r="6" spans="1:7" ht="43.2" x14ac:dyDescent="0.3">
      <c r="A6" s="10">
        <v>5</v>
      </c>
      <c r="B6" s="10" t="s">
        <v>162</v>
      </c>
      <c r="C6" s="10" t="s">
        <v>118</v>
      </c>
      <c r="D6" s="10" t="s">
        <v>158</v>
      </c>
      <c r="E6" s="10" t="s">
        <v>156</v>
      </c>
      <c r="F6" s="10" t="s">
        <v>174</v>
      </c>
    </row>
    <row r="7" spans="1:7" ht="43.2" x14ac:dyDescent="0.3">
      <c r="A7" s="10">
        <v>6</v>
      </c>
      <c r="B7" s="10" t="s">
        <v>162</v>
      </c>
      <c r="C7" s="10" t="s">
        <v>118</v>
      </c>
      <c r="D7" s="10" t="s">
        <v>150</v>
      </c>
      <c r="E7" s="10" t="s">
        <v>156</v>
      </c>
      <c r="F7" s="10" t="s">
        <v>174</v>
      </c>
    </row>
    <row r="8" spans="1:7" ht="43.2" x14ac:dyDescent="0.3">
      <c r="A8" s="10">
        <v>7</v>
      </c>
      <c r="B8" s="10" t="s">
        <v>162</v>
      </c>
      <c r="C8" s="10" t="s">
        <v>119</v>
      </c>
      <c r="D8" s="10" t="s">
        <v>161</v>
      </c>
      <c r="E8" s="10" t="s">
        <v>156</v>
      </c>
      <c r="F8" s="10" t="s">
        <v>175</v>
      </c>
    </row>
    <row r="9" spans="1:7" ht="43.2" x14ac:dyDescent="0.3">
      <c r="A9" s="10">
        <v>8</v>
      </c>
      <c r="B9" s="10" t="s">
        <v>162</v>
      </c>
      <c r="C9" s="10" t="s">
        <v>119</v>
      </c>
      <c r="D9" s="10" t="s">
        <v>147</v>
      </c>
      <c r="E9" s="10" t="s">
        <v>150</v>
      </c>
      <c r="F9" s="10" t="s">
        <v>175</v>
      </c>
    </row>
    <row r="10" spans="1:7" ht="43.2" x14ac:dyDescent="0.3">
      <c r="A10" s="10">
        <v>9</v>
      </c>
      <c r="B10" s="10" t="s">
        <v>162</v>
      </c>
      <c r="C10" s="10" t="s">
        <v>119</v>
      </c>
      <c r="D10" s="10" t="s">
        <v>146</v>
      </c>
      <c r="E10" s="10" t="s">
        <v>147</v>
      </c>
      <c r="F10" s="10" t="s">
        <v>175</v>
      </c>
    </row>
    <row r="11" spans="1:7" ht="43.2" x14ac:dyDescent="0.3">
      <c r="A11" s="10">
        <v>10</v>
      </c>
      <c r="B11" s="10" t="s">
        <v>162</v>
      </c>
      <c r="C11" s="10" t="s">
        <v>119</v>
      </c>
      <c r="D11" s="10" t="s">
        <v>155</v>
      </c>
      <c r="E11" s="10" t="s">
        <v>146</v>
      </c>
      <c r="F11" s="10" t="s">
        <v>175</v>
      </c>
    </row>
    <row r="12" spans="1:7" ht="43.2" x14ac:dyDescent="0.3">
      <c r="A12" s="10">
        <v>11</v>
      </c>
      <c r="B12" s="10" t="s">
        <v>162</v>
      </c>
      <c r="C12" s="10" t="s">
        <v>119</v>
      </c>
      <c r="D12" s="10" t="s">
        <v>154</v>
      </c>
      <c r="E12" s="10" t="s">
        <v>146</v>
      </c>
      <c r="F12" s="10" t="s">
        <v>175</v>
      </c>
    </row>
    <row r="13" spans="1:7" ht="43.2" x14ac:dyDescent="0.3">
      <c r="A13" s="10">
        <v>12</v>
      </c>
      <c r="B13" s="10" t="s">
        <v>162</v>
      </c>
      <c r="C13" s="10" t="s">
        <v>119</v>
      </c>
      <c r="D13" s="10" t="s">
        <v>151</v>
      </c>
      <c r="E13" s="10" t="s">
        <v>146</v>
      </c>
      <c r="F13" s="10" t="s">
        <v>175</v>
      </c>
    </row>
    <row r="14" spans="1:7" ht="43.2" x14ac:dyDescent="0.3">
      <c r="A14" s="10">
        <v>13</v>
      </c>
      <c r="B14" s="10" t="s">
        <v>162</v>
      </c>
      <c r="C14" s="10" t="s">
        <v>119</v>
      </c>
      <c r="D14" s="10" t="s">
        <v>152</v>
      </c>
      <c r="E14" s="10" t="s">
        <v>146</v>
      </c>
      <c r="F14" s="10" t="s">
        <v>175</v>
      </c>
    </row>
    <row r="15" spans="1:7" ht="43.2" x14ac:dyDescent="0.3">
      <c r="A15" s="10">
        <v>14</v>
      </c>
      <c r="B15" s="10" t="s">
        <v>162</v>
      </c>
      <c r="C15" s="10" t="s">
        <v>119</v>
      </c>
      <c r="D15" s="10" t="s">
        <v>153</v>
      </c>
      <c r="E15" s="10" t="s">
        <v>146</v>
      </c>
      <c r="F15" s="10" t="s">
        <v>175</v>
      </c>
    </row>
    <row r="16" spans="1:7" ht="43.2" x14ac:dyDescent="0.3">
      <c r="A16" s="10">
        <v>15</v>
      </c>
      <c r="B16" s="10" t="s">
        <v>162</v>
      </c>
      <c r="C16" s="10" t="s">
        <v>119</v>
      </c>
      <c r="D16" s="10" t="s">
        <v>148</v>
      </c>
      <c r="E16" s="10" t="s">
        <v>155</v>
      </c>
      <c r="F16" s="10" t="s">
        <v>175</v>
      </c>
    </row>
    <row r="17" spans="1:6" ht="43.2" x14ac:dyDescent="0.3">
      <c r="A17" s="10">
        <v>16</v>
      </c>
      <c r="B17" s="10" t="s">
        <v>162</v>
      </c>
      <c r="C17" s="10" t="s">
        <v>119</v>
      </c>
      <c r="D17" s="10" t="s">
        <v>149</v>
      </c>
      <c r="E17" s="10" t="s">
        <v>148</v>
      </c>
      <c r="F17" s="10" t="s">
        <v>175</v>
      </c>
    </row>
    <row r="18" spans="1:6" ht="43.2" x14ac:dyDescent="0.3">
      <c r="A18" s="10">
        <v>17</v>
      </c>
      <c r="B18" s="10" t="s">
        <v>162</v>
      </c>
      <c r="C18" s="10" t="s">
        <v>176</v>
      </c>
      <c r="F18" s="10" t="s">
        <v>177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4"/>
  <sheetViews>
    <sheetView workbookViewId="0">
      <selection activeCell="D11" sqref="D11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113</v>
      </c>
    </row>
    <row r="2" spans="2:9" x14ac:dyDescent="0.3">
      <c r="B2" t="s">
        <v>144</v>
      </c>
      <c r="C2" t="str">
        <f>UPPER(SUBSTITUTE(B2,".","_"))</f>
        <v>DELIB_MQH</v>
      </c>
      <c r="D2" t="str">
        <f>"#ifndef __"&amp;C$2&amp;"__"</f>
        <v>#ifndef __DELIB_MQH__</v>
      </c>
      <c r="G2" t="s">
        <v>145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__DELIB_MQH__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__DELIB_MQH__</v>
      </c>
      <c r="I4" t="str">
        <f>"#endif // " &amp;$H2</f>
        <v>#endif // CBASEOBJEXT</v>
      </c>
    </row>
    <row r="6" spans="2:9" x14ac:dyDescent="0.3">
      <c r="C6" t="s">
        <v>116</v>
      </c>
      <c r="D6" t="str">
        <f>"#ifndef "&amp;C6&amp;"_"&amp;C2</f>
        <v>#ifndef MOVE_TO_DELIB_MQH</v>
      </c>
    </row>
    <row r="7" spans="2:9" x14ac:dyDescent="0.3">
      <c r="D7" t="str">
        <f>"#define " &amp; C6&amp;"_"&amp;C2</f>
        <v>#define MOVE_TO_DELIB_MQH</v>
      </c>
      <c r="H7" t="s">
        <v>114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MOVE_TO_DELIB_MQH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143</v>
      </c>
      <c r="C10" t="str">
        <f>UPPER(SUBSTITUTE(B10,".","_"))</f>
        <v>CONTAINER_MQH</v>
      </c>
      <c r="D10" t="str">
        <f>"#ifndef __"&amp;C$10&amp;"__"</f>
        <v>#ifndef __CONTAINER_MQH__</v>
      </c>
    </row>
    <row r="12" spans="2:9" x14ac:dyDescent="0.3">
      <c r="H12" t="s">
        <v>115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Folders</vt:lpstr>
      <vt:lpstr>Files</vt:lpstr>
      <vt:lpstr>RelativeInclude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2026-04-07T01:17:26Z</dcterms:modified>
</cp:coreProperties>
</file>