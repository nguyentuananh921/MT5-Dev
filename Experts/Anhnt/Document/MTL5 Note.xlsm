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017DE7BE-FC68-4B01-8732-4862289FFDCD}" xr6:coauthVersionLast="47" xr6:coauthVersionMax="47" xr10:uidLastSave="{00000000-0000-0000-0000-000000000000}"/>
  <bookViews>
    <workbookView xWindow="-108" yWindow="-108" windowWidth="23256" windowHeight="12456" tabRatio="78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<sst xmlns="http://schemas.openxmlformats.org/spreadsheetml/2006/main" count="2470" uniqueCount="773">
  <si>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</si>
  <si>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</si>
  <si>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</si>
  <si>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</si>
  <si>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</si>
  <si>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</si>
  <si>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</si>
  <si>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</si>
  <si>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</si>
  <si>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</si>
  <si>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</si>
  <si>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</si>
  <si>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</si>
  <si>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</si>
  <si>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</si>
  <si>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</si>
  <si>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</si>
  <si>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</si>
  <si>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</si>
  <si>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</si>
  <si>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</si>
  <si>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</si>
  <si>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</si>
  <si>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</si>
  <si>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</si>
  <si>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</si>
  <si>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</si>
  <si>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</si>
  <si>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</si>
  <si>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</si>
  <si>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</si>
  <si>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</si>
  <si>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</si>
  <si>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</si>
  <si>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</si>
  <si>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</si>
  <si>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</si>
  <si>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</si>
  <si>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</si>
  <si>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</si>
  <si>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</si>
  <si>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</si>
  <si>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</si>
  <si>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</si>
  <si>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</si>
  <si>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</si>
  <si>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</si>
  <si>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</si>
  <si>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</si>
  <si>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</si>
  <si>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</si>
  <si>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</si>
  <si>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</si>
  <si>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</si>
  <si>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</si>
  <si>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</si>
  <si>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</si>
  <si>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</si>
  <si>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</si>
  <si>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</si>
  <si>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</si>
  <si>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</si>
  <si>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</si>
  <si>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</si>
  <si>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</si>
  <si>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</si>
  <si>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</si>
  <si>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</si>
  <si>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</si>
  <si>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</si>
  <si>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</si>
  <si>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</si>
  <si>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</si>
  <si>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</si>
  <si>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</si>
  <si>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</si>
  <si>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</si>
  <si>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</si>
  <si>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</si>
  <si>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</si>
  <si>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</si>
  <si>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</si>
  <si>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</si>
  <si>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</si>
  <si>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</si>
  <si>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</si>
  <si>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</si>
  <si>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</si>
  <si>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</si>
  <si>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</si>
  <si>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</si>
  <si>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</si>
  <si>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</si>
  <si>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</si>
  <si>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</si>
  <si>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</si>
  <si>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</si>
  <si>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</si>
  <si>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</si>
  <si>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</si>
  <si>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</si>
  <si>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</si>
  <si>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</si>
  <si>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</si>
  <si>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</si>
  <si>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</si>
  <si>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</si>
  <si>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</si>
  <si>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</si>
  <si>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</si>
  <si>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</si>
  <si>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</si>
  <si>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</si>
  <si>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</si>
  <si>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</si>
  <si>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</si>
  <si>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</si>
  <si>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</si>
  <si>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</si>
  <si>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</si>
  <si>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</si>
  <si>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</si>
  <si>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</si>
  <si>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</si>
  <si>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</si>
  <si>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</si>
  <si>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</si>
  <si>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</si>
  <si>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</si>
  <si>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</si>
  <si>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</si>
  <si>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</si>
  <si>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</si>
  <si>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</si>
  <si>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</si>
  <si>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</si>
  <si>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</si>
  <si>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</si>
  <si>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</si>
  <si>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</si>
  <si>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</si>
  <si>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</si>
  <si>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</si>
  <si>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</si>
  <si>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</si>
  <si>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</si>
  <si>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</si>
  <si>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</si>
  <si>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</si>
  <si>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</si>
  <si>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</si>
  <si>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</si>
  <si>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</si>
  <si>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</si>
  <si>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</si>
  <si>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</si>
  <si>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</si>
  <si>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</si>
  <si>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</si>
  <si>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</si>
  <si>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</si>
  <si>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</si>
  <si>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</si>
  <si>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</si>
  <si>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</si>
  <si>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</si>
  <si>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</si>
  <si>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</si>
  <si>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</si>
  <si>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</si>
  <si>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</si>
  <si>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</si>
  <si>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</si>
  <si>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</si>
  <si>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</si>
  <si>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</si>
  <si>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</si>
  <si>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</si>
  <si>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</si>
  <si>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</si>
  <si>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</si>
  <si>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</si>
  <si>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</si>
  <si>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</si>
  <si>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</si>
  <si>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</si>
  <si>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</si>
  <si>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</si>
  <si>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</si>
  <si>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</si>
  <si>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</si>
  <si>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</si>
  <si>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</si>
  <si>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</si>
  <si>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</si>
  <si>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</si>
  <si>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</si>
  <si>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</si>
  <si>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</si>
  <si>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</si>
  <si>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</si>
  <si>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</si>
  <si>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</si>
  <si>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</si>
  <si>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</si>
  <si>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</si>
  <si>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</si>
  <si>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</si>
  <si>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</si>
  <si>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</si>
  <si>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</si>
  <si>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</si>
  <si>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</si>
  <si>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</si>
  <si>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</si>
  <si>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</si>
  <si>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</si>
  <si>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</si>
  <si>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</si>
  <si>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</si>
  <si>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</si>
  <si>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</si>
  <si>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</si>
  <si>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</si>
  <si>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</si>
  <si>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</si>
  <si>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</si>
  <si>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</si>
  <si>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</si>
  <si>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</si>
  <si>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</si>
  <si>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</si>
  <si>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</si>
  <si>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</si>
  <si>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</si>
  <si>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</si>
  <si>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</si>
  <si>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</si>
  <si>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</si>
  <si>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</si>
  <si>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</si>
  <si>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</si>
  <si>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</si>
  <si>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</si>
  <si>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</si>
  <si>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</si>
  <si>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</si>
  <si>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</si>
  <si>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</si>
  <si>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</si>
  <si>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</si>
  <si>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</si>
  <si>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</si>
  <si>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</si>
  <si>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</si>
  <si>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</si>
  <si>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</si>
  <si>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</si>
  <si>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</si>
  <si>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</si>
  <si>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</si>
  <si>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</si>
  <si>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</si>
  <si>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</si>
  <si>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</si>
  <si>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</si>
  <si>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</si>
  <si>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</si>
  <si>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</si>
  <si>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</si>
  <si>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</si>
  <si>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</si>
  <si>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</si>
  <si>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</si>
  <si>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</si>
  <si>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</si>
  <si>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</si>
  <si>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</si>
  <si>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</si>
  <si>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</si>
  <si>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</si>
  <si>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</si>
  <si>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</si>
  <si>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</si>
  <si>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</si>
  <si>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</si>
  <si>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</si>
  <si>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</si>
  <si>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</si>
  <si>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</si>
  <si>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</si>
  <si>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</si>
  <si>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</si>
  <si>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</si>
  <si>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</si>
  <si>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</si>
  <si>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</si>
  <si>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</si>
  <si>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</si>
  <si>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</si>
  <si>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</si>
  <si>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</si>
  <si>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</si>
  <si>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</si>
  <si>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</si>
  <si>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</si>
  <si>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</si>
  <si>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</si>
  <si>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</si>
  <si>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</si>
  <si>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</si>
  <si>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</si>
  <si>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</si>
  <si>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</si>
  <si>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</si>
  <si>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</si>
  <si>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</si>
  <si>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</si>
  <si>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</si>
  <si>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</si>
  <si>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</si>
  <si>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</si>
  <si>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</si>
  <si>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</si>
  <si>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</si>
  <si>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</si>
  <si>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</si>
  <si>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</si>
  <si>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</si>
  <si>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</si>
  <si>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</si>
  <si>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</si>
  <si>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</si>
  <si>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</si>
  <si>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</si>
  <si>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</si>
  <si>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</si>
  <si>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</si>
  <si>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</si>
  <si>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</si>
  <si>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</si>
  <si>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</si>
  <si>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</si>
  <si>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</si>
  <si>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</si>
  <si>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</si>
  <si>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</si>
  <si>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</si>
  <si>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</si>
  <si>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</si>
  <si>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</si>
  <si>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</si>
  <si>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</si>
  <si>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</si>
  <si>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</si>
  <si>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</si>
  <si>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</si>
  <si>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</si>
  <si>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</si>
  <si>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</si>
  <si>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</si>
  <si>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</si>
  <si>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</si>
  <si>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</si>
  <si>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</si>
  <si>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</si>
  <si>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</si>
  <si>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</si>
  <si>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</si>
  <si>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</si>
  <si>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</si>
  <si>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</si>
  <si>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</si>
  <si>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</si>
  <si>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</si>
  <si>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</si>
  <si>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</si>
  <si>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</si>
  <si>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</si>
  <si>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</si>
  <si>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</si>
  <si>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</si>
  <si>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</si>
  <si>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</si>
  <si>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</si>
  <si>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</si>
  <si>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</si>
  <si>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</si>
  <si>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</si>
  <si>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</si>
  <si>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</si>
  <si>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</si>
  <si>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</si>
  <si>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</si>
  <si>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</si>
  <si>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</si>
  <si>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</si>
  <si>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</si>
  <si>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</si>
  <si>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</si>
  <si>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</si>
  <si>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</si>
  <si>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</si>
  <si>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</si>
  <si>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</si>
  <si>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</si>
  <si>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</si>
  <si>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</si>
  <si>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</si>
  <si>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</si>
  <si>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</si>
  <si>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</si>
  <si>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</si>
  <si>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</si>
  <si>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</si>
  <si>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</si>
  <si>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</si>
  <si>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</si>
  <si>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</si>
  <si>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</si>
  <si>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</si>
  <si>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</si>
  <si>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Defines.mqh</t>
  </si>
  <si>
    <t>Enums.mqh</t>
  </si>
  <si>
    <t>Image.mqh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</si>
  <si>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</si>
  <si>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</si>
  <si>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</si>
  <si>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</si>
  <si>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</si>
  <si>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</si>
  <si>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</si>
  <si>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</si>
  <si>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</si>
  <si>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</si>
  <si>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</si>
  <si>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</si>
  <si>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</si>
  <si>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</si>
  <si>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</si>
  <si>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</si>
  <si>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</si>
  <si>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</si>
  <si>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</si>
  <si>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</si>
  <si>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</si>
  <si>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</si>
  <si>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</si>
  <si>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</si>
  <si>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</si>
  <si>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</si>
  <si>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</si>
  <si>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</si>
  <si>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</si>
  <si>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Colors.mqh</t>
  </si>
  <si>
    <t>Common.mqh</t>
  </si>
  <si>
    <t>Element.mqh</t>
  </si>
  <si>
    <t>Fonts.mqh</t>
  </si>
  <si>
    <t>KeyCodes.mqh</t>
  </si>
  <si>
    <t>Keys.mqh</t>
  </si>
  <si>
    <t>LibNote.txt</t>
  </si>
  <si>
    <t>Mouse.mqh</t>
  </si>
  <si>
    <t>RectCanvas.mqh</t>
  </si>
  <si>
    <t>SubChart.mqh</t>
  </si>
  <si>
    <t>TimeCounter.mqh</t>
  </si>
  <si>
    <t>WndContainer.mqh</t>
  </si>
  <si>
    <t>WndCreate.mqh</t>
  </si>
  <si>
    <t>WndEvents.mqh</t>
  </si>
  <si>
    <t>ButtonsGroup.mqh</t>
  </si>
  <si>
    <t>Calendar.mqh</t>
  </si>
  <si>
    <t>ColorButton.mqh</t>
  </si>
  <si>
    <t>ColorPicker.mqh</t>
  </si>
  <si>
    <t>ComboBox.mqh</t>
  </si>
  <si>
    <t>ContextMenu.mqh</t>
  </si>
  <si>
    <t>DropCalendar.mqh</t>
  </si>
  <si>
    <t>FileNavigator.mqh</t>
  </si>
  <si>
    <t>Frame.mqh</t>
  </si>
  <si>
    <t>Graph.mqh</t>
  </si>
  <si>
    <t>ListView.mqh</t>
  </si>
  <si>
    <t>MenuBar.mqh</t>
  </si>
  <si>
    <t>MenuItem.mqh</t>
  </si>
  <si>
    <t>Picture.mqh</t>
  </si>
  <si>
    <t>PicturesSlider.mqh</t>
  </si>
  <si>
    <t>Pointer.mqh</t>
  </si>
  <si>
    <t>ProgressBar.mqh</t>
  </si>
  <si>
    <t>Scrolls.mqh</t>
  </si>
  <si>
    <t>SeparateLine.mqh</t>
  </si>
  <si>
    <t>Slider.mqh</t>
  </si>
  <si>
    <t>SplitButton.mqh</t>
  </si>
  <si>
    <t>StandardChart.mqh</t>
  </si>
  <si>
    <t>StatusBar.mqh</t>
  </si>
  <si>
    <t>Tabs.mqh</t>
  </si>
  <si>
    <t>TextBox.mqh</t>
  </si>
  <si>
    <t>TextEdit.mqh</t>
  </si>
  <si>
    <t>TextLabel.mqh</t>
  </si>
  <si>
    <t>TimeEdit.mqh</t>
  </si>
  <si>
    <t>Tooltip.mqh</t>
  </si>
  <si>
    <t>TreeItem.mqh</t>
  </si>
  <si>
    <t>TreeView.mqh</t>
  </si>
  <si>
    <t>ImageResources.mqh</t>
  </si>
  <si>
    <t>Objects.mqh</t>
  </si>
  <si>
    <t>Resources Backup.mqh</t>
  </si>
  <si>
    <t>Know</t>
  </si>
  <si>
    <t>Un_Know</t>
  </si>
  <si>
    <t>CMainProgram_OnInitEvent</t>
  </si>
  <si>
    <t>GUIPannel.mqh</t>
  </si>
  <si>
    <t>AccountsCollection.mqh</t>
  </si>
  <si>
    <t>BookSeriesCollection.mqh</t>
  </si>
  <si>
    <t>EventsCollection.mqh</t>
  </si>
  <si>
    <t>HistoryCollection.mqh</t>
  </si>
  <si>
    <t>MarketCollection.mqh</t>
  </si>
  <si>
    <t>OrderControl.mqh</t>
  </si>
  <si>
    <t>SymbolsCollection.mqh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</si>
  <si>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</si>
  <si>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</si>
  <si>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</si>
  <si>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</si>
  <si>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</si>
  <si>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</si>
  <si>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</si>
  <si>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</si>
  <si>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</si>
  <si>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</si>
  <si>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</si>
  <si>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</si>
  <si>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</si>
  <si>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</si>
  <si>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</si>
  <si>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</si>
  <si>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</si>
  <si>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</si>
  <si>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</si>
  <si>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</si>
  <si>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</si>
  <si>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</si>
  <si>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</si>
  <si>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</si>
  <si>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</si>
  <si>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</si>
  <si>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</si>
  <si>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</si>
  <si>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</si>
  <si>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</si>
  <si>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</si>
  <si>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</si>
  <si>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</si>
  <si>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</si>
  <si>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</si>
  <si>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</si>
  <si>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</si>
  <si>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</si>
  <si>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</si>
  <si>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</si>
  <si>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</si>
  <si>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</si>
  <si>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</si>
  <si>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</si>
  <si>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</si>
  <si>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</si>
  <si>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</si>
  <si>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</si>
  <si>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</si>
  <si>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</si>
  <si>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TradeObj.mqh</t>
  </si>
  <si>
    <t>Message.mqh</t>
  </si>
  <si>
    <t>C:\Users\nguye\AppData\Roaming\MetaQuotes\Terminal\D0E8209F77C8CF37AD8BF550E51FF075\MQL5\Include\Vendors\Anhnt\Library\4. Combination Lib</t>
  </si>
  <si>
    <t>Include\Vendors\Anhnt\Library\4. Combination Lib</t>
  </si>
  <si>
    <t>#include &lt;Vendors\Anhnt\Library\4. Combination Lib\Colors.mqh&gt;</t>
  </si>
  <si>
    <t>#include &lt;Vendors\Anhnt\Library\4. Combination Lib\Common.mqh&gt;</t>
  </si>
  <si>
    <t>#include &lt;Vendors\Anhnt\Library\4. Combination Lib\Defines.mqh&gt;</t>
  </si>
  <si>
    <t>#include &lt;Vendors\Anhnt\Library\4. Combination Lib\Element.mqh&gt;</t>
  </si>
  <si>
    <t>#include &lt;Vendors\Anhnt\Library\4. Combination Lib\ElementBase.mqh&gt;</t>
  </si>
  <si>
    <t>#include &lt;Vendors\Anhnt\Library\4. Combination Lib\Enums.mqh&gt;</t>
  </si>
  <si>
    <t>#include &lt;Vendors\Anhnt\Library\4. Combination Lib\Fonts.mqh&gt;</t>
  </si>
  <si>
    <t>#include &lt;Vendors\Anhnt\Library\4. Combination Lib\Image.mqh&gt;</t>
  </si>
  <si>
    <t>#include &lt;Vendors\Anhnt\Library\4. Combination Lib\KeyCodes.mqh&gt;</t>
  </si>
  <si>
    <t>#include &lt;Vendors\Anhnt\Library\4. Combination Lib\Keys.mqh&gt;</t>
  </si>
  <si>
    <t>#include &lt;Vendors\Anhnt\Library\4. Combination Lib\Mouse.mqh&gt;</t>
  </si>
  <si>
    <t>#include &lt;Vendors\Anhnt\Library\4. Combination Lib\RectCanvas.mqh&gt;</t>
  </si>
  <si>
    <t>#include &lt;Vendors\Anhnt\Library\4. Combination Lib\SubChart.mqh&gt;</t>
  </si>
  <si>
    <t>#include &lt;Vendors\Anhnt\Library\4. Combination Lib\TimeCounter.mqh&gt;</t>
  </si>
  <si>
    <t>#include &lt;Vendors\Anhnt\Library\4. Combination Lib\WndContainer.mqh&gt;</t>
  </si>
  <si>
    <t>#include &lt;Vendors\Anhnt\Library\4. Combination Lib\WndCreate.mqh&gt;</t>
  </si>
  <si>
    <t>#include &lt;Vendors\Anhnt\Library\4. Combination Lib\WndEvents.mqh&gt;</t>
  </si>
  <si>
    <t>Include\Vendors\Anhnt\Library\4. Combination Lib\Controls</t>
  </si>
  <si>
    <t>#include &lt;Vendors\Anhnt\Library\4. Combination Lib\Controls\Button.mqh&gt;</t>
  </si>
  <si>
    <t>#include &lt;Vendors\Anhnt\Library\4. Combination Lib\Controls\ButtonsGroup.mqh&gt;</t>
  </si>
  <si>
    <t>#include &lt;Vendors\Anhnt\Library\4. Combination Lib\Controls\Calendar.mqh&gt;</t>
  </si>
  <si>
    <t>#include &lt;Vendors\Anhnt\Library\4. Combination Lib\Controls\CheckBox.mqh&gt;</t>
  </si>
  <si>
    <t>#include &lt;Vendors\Anhnt\Library\4. Combination Lib\Controls\ColorButton.mqh&gt;</t>
  </si>
  <si>
    <t>#include &lt;Vendors\Anhnt\Library\4. Combination Lib\Controls\ColorPicker.mqh&gt;</t>
  </si>
  <si>
    <t>#include &lt;Vendors\Anhnt\Library\4. Combination Lib\Controls\ComboBox.mqh&gt;</t>
  </si>
  <si>
    <t>#include &lt;Vendors\Anhnt\Library\4. Combination Lib\Controls\ContextMenu.mqh&gt;</t>
  </si>
  <si>
    <t>#include &lt;Vendors\Anhnt\Library\4. Combination Lib\Controls\DropCalendar.mqh&gt;</t>
  </si>
  <si>
    <t>#include &lt;Vendors\Anhnt\Library\4. Combination Lib\Controls\FileNavigator.mqh&gt;</t>
  </si>
  <si>
    <t>#include &lt;Vendors\Anhnt\Library\4. Combination Lib\Controls\Frame.mqh&gt;</t>
  </si>
  <si>
    <t>#include &lt;Vendors\Anhnt\Library\4. Combination Lib\Controls\Graph.mqh&gt;</t>
  </si>
  <si>
    <t>#include &lt;Vendors\Anhnt\Library\4. Combination Lib\Controls\ListView.mqh&gt;</t>
  </si>
  <si>
    <t>#include &lt;Vendors\Anhnt\Library\4. Combination Lib\Controls\MenuBar.mqh&gt;</t>
  </si>
  <si>
    <t>#include &lt;Vendors\Anhnt\Library\4. Combination Lib\Controls\MenuItem.mqh&gt;</t>
  </si>
  <si>
    <t>#include &lt;Vendors\Anhnt\Library\4. Combination Lib\Controls\Picture.mqh&gt;</t>
  </si>
  <si>
    <t>#include &lt;Vendors\Anhnt\Library\4. Combination Lib\Controls\PicturesSlider.mqh&gt;</t>
  </si>
  <si>
    <t>#include &lt;Vendors\Anhnt\Library\4. Combination Lib\Controls\Pointer.mqh&gt;</t>
  </si>
  <si>
    <t>#include &lt;Vendors\Anhnt\Library\4. Combination Lib\Controls\ProgressBar.mqh&gt;</t>
  </si>
  <si>
    <t>#include &lt;Vendors\Anhnt\Library\4. Combination Lib\Controls\Scrolls.mqh&gt;</t>
  </si>
  <si>
    <t>#include &lt;Vendors\Anhnt\Library\4. Combination Lib\Controls\SeparateLine.mqh&gt;</t>
  </si>
  <si>
    <t>#include &lt;Vendors\Anhnt\Library\4. Combination Lib\Controls\Slider.mqh&gt;</t>
  </si>
  <si>
    <t>#include &lt;Vendors\Anhnt\Library\4. Combination Lib\Controls\SplitButton.mqh&gt;</t>
  </si>
  <si>
    <t>#include &lt;Vendors\Anhnt\Library\4. Combination Lib\Controls\StandardChart.mqh&gt;</t>
  </si>
  <si>
    <t>#include &lt;Vendors\Anhnt\Library\4. Combination Lib\Controls\StatusBar.mqh&gt;</t>
  </si>
  <si>
    <t>#include &lt;Vendors\Anhnt\Library\4. Combination Lib\Controls\Table.mqh&gt;</t>
  </si>
  <si>
    <t>#include &lt;Vendors\Anhnt\Library\4. Combination Lib\Controls\Tabs.mqh&gt;</t>
  </si>
  <si>
    <t>#include &lt;Vendors\Anhnt\Library\4. Combination Lib\Controls\TextBox.mqh&gt;</t>
  </si>
  <si>
    <t>#include &lt;Vendors\Anhnt\Library\4. Combination Lib\Controls\TextEdit.mqh&gt;</t>
  </si>
  <si>
    <t>#include &lt;Vendors\Anhnt\Library\4. Combination Lib\Controls\TextLabel.mqh&gt;</t>
  </si>
  <si>
    <t>#include &lt;Vendors\Anhnt\Library\4. Combination Lib\Controls\TimeEdit.mqh&gt;</t>
  </si>
  <si>
    <t>#include &lt;Vendors\Anhnt\Library\4. Combination Lib\Controls\Tooltip.mqh&gt;</t>
  </si>
  <si>
    <t>#include &lt;Vendors\Anhnt\Library\4. Combination Lib\Controls\TreeItem.mqh&gt;</t>
  </si>
  <si>
    <t>#include &lt;Vendors\Anhnt\Library\4. Combination Lib\Controls\TreeView.mqh&gt;</t>
  </si>
  <si>
    <t>Window.mqh</t>
  </si>
  <si>
    <t>#include &lt;Vendors\Anhnt\Library\4. Combination Lib\Controls\Window.mqh&gt;</t>
  </si>
  <si>
    <t>Include\Vendors\Anhnt\Library\4. Combination Lib\GUIDefines</t>
  </si>
  <si>
    <t>#include &lt;Vendors\Anhnt\Library\4. Combination Lib\GUIDefines\ControlsDefines.mqh&gt;</t>
  </si>
  <si>
    <t>Include\Vendors\Anhnt\Library\4. Combination Lib\Resources</t>
  </si>
  <si>
    <t>#include &lt;Vendors\Anhnt\Library\4. Combination Lib\Resources\ImageResources.mqh&gt;</t>
  </si>
  <si>
    <t>Include\Vendors\Anhnt\Library\4. Combination Lib\Temp</t>
  </si>
  <si>
    <t>#include &lt;Vendors\Anhnt\Library\4. Combination Lib\Temp\Objects.mqh&gt;</t>
  </si>
  <si>
    <t>#include &lt;Vendors\Anhnt\Library\4. Combination Lib\Temp\Resources Backup.mqh&gt;</t>
  </si>
  <si>
    <t>BaseObjExt.mqh</t>
  </si>
  <si>
    <t>EventBaseObj.mqh</t>
  </si>
  <si>
    <t>GUI Lib</t>
  </si>
  <si>
    <t>.clang-format</t>
  </si>
  <si>
    <t>#include "..\GUI Lib\.clang-format"</t>
  </si>
  <si>
    <t>.clangd</t>
  </si>
  <si>
    <t>#include "..\GUI Lib\.clangd"</t>
  </si>
  <si>
    <t>#include "..\GUI Lib\Colors.mqh"</t>
  </si>
  <si>
    <t>#include "..\GUI Lib\Common.mqh"</t>
  </si>
  <si>
    <t>#include "..\GUI Lib\Defines.mqh"</t>
  </si>
  <si>
    <t>#include "..\GUI Lib\Element.mqh"</t>
  </si>
  <si>
    <t>#include "..\GUI Lib\ElementBase.mqh"</t>
  </si>
  <si>
    <t>#include "..\GUI Lib\Enums.mqh"</t>
  </si>
  <si>
    <t>#include "..\GUI Lib\Fonts.mqh"</t>
  </si>
  <si>
    <t>#include "..\GUI Lib\Image.mqh"</t>
  </si>
  <si>
    <t>#include "..\GUI Lib\KeyCodes.mqh"</t>
  </si>
  <si>
    <t>#include "..\GUI Lib\Keys.mqh"</t>
  </si>
  <si>
    <t>#include "..\GUI Lib\LibNote.txt"</t>
  </si>
  <si>
    <t>#include "..\GUI Lib\Mouse.mqh"</t>
  </si>
  <si>
    <t>#include "..\GUI Lib\RectCanvas.mqh"</t>
  </si>
  <si>
    <t>#include "..\GUI Lib\SubChart.mqh"</t>
  </si>
  <si>
    <t>#include "..\GUI Lib\TimeCounter.mqh"</t>
  </si>
  <si>
    <t>#include "..\GUI Lib\WndContainer.mqh"</t>
  </si>
  <si>
    <t>#include "..\GUI Lib\WndCreate.mqh"</t>
  </si>
  <si>
    <t>#include "..\GUI Lib\WndEvents.mqh"</t>
  </si>
  <si>
    <t>GUI Lib/Controls</t>
  </si>
  <si>
    <t>#include "..\GUI Lib\Controls\Button.mqh"</t>
  </si>
  <si>
    <t>#include "..\GUI Lib\Controls\ButtonsGroup.mqh"</t>
  </si>
  <si>
    <t>#include "..\GUI Lib\Controls\Calendar.mqh"</t>
  </si>
  <si>
    <t>#include "..\GUI Lib\Controls\CheckBox.mqh"</t>
  </si>
  <si>
    <t>#include "..\GUI Lib\Controls\ColorButton.mqh"</t>
  </si>
  <si>
    <t>#include "..\GUI Lib\Controls\ColorPicker.mqh"</t>
  </si>
  <si>
    <t>#include "..\GUI Lib\Controls\ComboBox.mqh"</t>
  </si>
  <si>
    <t>#include "..\GUI Lib\Controls\ContextMenu.mqh"</t>
  </si>
  <si>
    <t>#include "..\GUI Lib\Controls\DropCalendar.mqh"</t>
  </si>
  <si>
    <t>#include "..\GUI Lib\Controls\FileNavigator.mqh"</t>
  </si>
  <si>
    <t>#include "..\GUI Lib\Controls\Frame.mqh"</t>
  </si>
  <si>
    <t>#include "..\GUI Lib\Controls\Graph.mqh"</t>
  </si>
  <si>
    <t>#include "..\GUI Lib\Controls\ListView.mqh"</t>
  </si>
  <si>
    <t>#include "..\GUI Lib\Controls\MenuBar.mqh"</t>
  </si>
  <si>
    <t>#include "..\GUI Lib\Controls\MenuItem.mqh"</t>
  </si>
  <si>
    <t>#include "..\GUI Lib\Controls\Picture.mqh"</t>
  </si>
  <si>
    <t>#include "..\GUI Lib\Controls\PicturesSlider.mqh"</t>
  </si>
  <si>
    <t>#include "..\GUI Lib\Controls\Pointer.mqh"</t>
  </si>
  <si>
    <t>#include "..\GUI Lib\Controls\ProgressBar.mqh"</t>
  </si>
  <si>
    <t>#include "..\GUI Lib\Controls\Scrolls.mqh"</t>
  </si>
  <si>
    <t>#include "..\GUI Lib\Controls\SeparateLine.mqh"</t>
  </si>
  <si>
    <t>#include "..\GUI Lib\Controls\Slider.mqh"</t>
  </si>
  <si>
    <t>#include "..\GUI Lib\Controls\SplitButton.mqh"</t>
  </si>
  <si>
    <t>#include "..\GUI Lib\Controls\StandardChart.mqh"</t>
  </si>
  <si>
    <t>#include "..\GUI Lib\Controls\StatusBar.mqh"</t>
  </si>
  <si>
    <t>#include "..\GUI Lib\Controls\Table.mqh"</t>
  </si>
  <si>
    <t>#include "..\GUI Lib\Controls\Tabs.mqh"</t>
  </si>
  <si>
    <t>#include "..\GUI Lib\Controls\TextBox.mqh"</t>
  </si>
  <si>
    <t>#include "..\GUI Lib\Controls\TextEdit.mqh"</t>
  </si>
  <si>
    <t>#include "..\GUI Lib\Controls\TextLabel.mqh"</t>
  </si>
  <si>
    <t>#include "..\GUI Lib\Controls\TimeEdit.mqh"</t>
  </si>
  <si>
    <t>#include "..\GUI Lib\Controls\Tooltip.mqh"</t>
  </si>
  <si>
    <t>#include "..\GUI Lib\Controls\TreeItem.mqh"</t>
  </si>
  <si>
    <t>#include "..\GUI Lib\Controls\TreeView.mqh"</t>
  </si>
  <si>
    <t>#include "..\GUI Lib\Controls\Window.mqh"</t>
  </si>
  <si>
    <t>GUI Lib/GUIDefines</t>
  </si>
  <si>
    <t>#include "..\GUI Lib\GUIDefines\ControlsDefines.mqh"</t>
  </si>
  <si>
    <t>GUI Lib/Resources</t>
  </si>
  <si>
    <t>#include "..\GUI Lib\Resources\ImageResources.mqh"</t>
  </si>
  <si>
    <t>GUI Lib/Temp</t>
  </si>
  <si>
    <t>#include "..\GUI Lib\Temp\Objects.mqh"</t>
  </si>
  <si>
    <t>#include "..\GUI Lib\Temp\Resources Backup.mqh"</t>
  </si>
  <si>
    <t>Notify</t>
  </si>
  <si>
    <t>#include "..\Notify\Message.mqh"</t>
  </si>
  <si>
    <t>MessageData.mqh</t>
  </si>
  <si>
    <t>#include "..\Notify\MessageData.mqh"</t>
  </si>
  <si>
    <t>MessageDefines.mqh</t>
  </si>
  <si>
    <t>#include "..\Notify\MessageDefines.mqh"</t>
  </si>
  <si>
    <t>Trading</t>
  </si>
  <si>
    <t>#include "..\Trading\TradeObj.mqh"</t>
  </si>
  <si>
    <t>Trading/Accounts</t>
  </si>
  <si>
    <t>#include "..\Trading\Accounts\Account.mqh"</t>
  </si>
  <si>
    <t>Trading/Book</t>
  </si>
  <si>
    <t>#include "..\Trading\Book\MarketBookBuy.mqh"</t>
  </si>
  <si>
    <t>#include "..\Trading\Book\MarketBookBuyMarket.mqh"</t>
  </si>
  <si>
    <t>#include "..\Trading\Book\MarketBookOrd.mqh"</t>
  </si>
  <si>
    <t>#include "..\Trading\Book\MarketBookSell.mqh"</t>
  </si>
  <si>
    <t>#include "..\Trading\Book\MarketBookSellMarket.mqh"</t>
  </si>
  <si>
    <t>#include "..\Trading\Book\MarketBookSnapshot.mqh"</t>
  </si>
  <si>
    <t>#include "..\Trading\Book\MBookSeries.mqh"</t>
  </si>
  <si>
    <t>Trading/Collections</t>
  </si>
  <si>
    <t>#include "..\Trading\Collections\AccountsCollection.mqh"</t>
  </si>
  <si>
    <t>#include "..\Trading\Collections\BookSeriesCollection.mqh"</t>
  </si>
  <si>
    <t>#include "..\Trading\Collections\EventsCollection.mqh"</t>
  </si>
  <si>
    <t>#include "..\Trading\Collections\HistoryCollection.mqh"</t>
  </si>
  <si>
    <t>#include "..\Trading\Collections\MarketCollection.mqh"</t>
  </si>
  <si>
    <t>#include "..\Trading\Collections\OrderControl.mqh"</t>
  </si>
  <si>
    <t>#include "..\Trading\Collections\SymbolsCollection.mqh"</t>
  </si>
  <si>
    <t>Trading/Events</t>
  </si>
  <si>
    <t>#include "..\Trading\Events\Event.mqh"</t>
  </si>
  <si>
    <t>#include "..\Trading\Events\EventBalanceOperation.mqh"</t>
  </si>
  <si>
    <t>#include "..\Trading\Events\EventModify.mqh"</t>
  </si>
  <si>
    <t>#include "..\Trading\Events\EventOrderPlaced.mqh"</t>
  </si>
  <si>
    <t>#include "..\Trading\Events\EventOrderRemoved.mqh"</t>
  </si>
  <si>
    <t>#include "..\Trading\Events\EventPositionClose.mqh"</t>
  </si>
  <si>
    <t>#include "..\Trading\Events\EventPositionOpen.mqh"</t>
  </si>
  <si>
    <t>Trading/Orders</t>
  </si>
  <si>
    <t>#include "..\Trading\Orders\HistoryBalance.mqh"</t>
  </si>
  <si>
    <t>#include "..\Trading\Orders\HistoryDeal.mqh"</t>
  </si>
  <si>
    <t>#include "..\Trading\Orders\HistoryOrder.mqh"</t>
  </si>
  <si>
    <t>#include "..\Trading\Orders\HistoryPending.mqh"</t>
  </si>
  <si>
    <t>#include "..\Trading\Orders\MarketOrder.mqh"</t>
  </si>
  <si>
    <t>#include "..\Trading\Orders\MarketPending.mqh"</t>
  </si>
  <si>
    <t>#include "..\Trading\Orders\MarketPosition.mqh"</t>
  </si>
  <si>
    <t>#include "..\Trading\Orders\Order.mqh"</t>
  </si>
  <si>
    <t>Trading/PendRequest</t>
  </si>
  <si>
    <t>#include "..\Trading\PendRequest\PendReqClose.mqh"</t>
  </si>
  <si>
    <t>#include "..\Trading\PendRequest\PendReqModify.mqh"</t>
  </si>
  <si>
    <t>#include "..\Trading\PendRequest\PendReqOpen.mqh"</t>
  </si>
  <si>
    <t>#include "..\Trading\PendRequest\PendReqPlace.mqh"</t>
  </si>
  <si>
    <t>#include "..\Trading\PendRequest\PendReqRemove.mqh"</t>
  </si>
  <si>
    <t>#include "..\Trading\PendRequest\PendReqSLTP.mqh"</t>
  </si>
  <si>
    <t>#include "..\Trading\PendRequest\PendRequest.mqh"</t>
  </si>
  <si>
    <t>Trading/Symbols</t>
  </si>
  <si>
    <t>#include "..\Trading\Symbols\Symbol.mqh"</t>
  </si>
  <si>
    <t>#include "..\Trading\Symbols\SymbolBonds.mqh"</t>
  </si>
  <si>
    <t>#include "..\Trading\Symbols\SymbolCFD.mqh"</t>
  </si>
  <si>
    <t>#include "..\Trading\Symbols\SymbolCollateral.mqh"</t>
  </si>
  <si>
    <t>#include "..\Trading\Symbols\SymbolCommodity.mqh"</t>
  </si>
  <si>
    <t>#include "..\Trading\Symbols\SymbolCommon.mqh"</t>
  </si>
  <si>
    <t>#include "..\Trading\Symbols\SymbolCrypto.mqh"</t>
  </si>
  <si>
    <t>#include "..\Trading\Symbols\SymbolCustom.mqh"</t>
  </si>
  <si>
    <t>#include "..\Trading\Symbols\SymbolExchange.mqh"</t>
  </si>
  <si>
    <t>#include "..\Trading\Symbols\SymbolFutures.mqh"</t>
  </si>
  <si>
    <t>#include "..\Trading\Symbols\SymbolFX.mqh"</t>
  </si>
  <si>
    <t>#include "..\Trading\Symbols\SymbolFXExotic.mqh"</t>
  </si>
  <si>
    <t>#include "..\Trading\Symbols\SymbolFXMajor.mqh"</t>
  </si>
  <si>
    <t>#include "..\Trading\Symbols\SymbolFXMinor.mqh"</t>
  </si>
  <si>
    <t>#include "..\Trading\Symbols\SymbolFXRub.mqh"</t>
  </si>
  <si>
    <t>#include "..\Trading\Symbols\SymbolIndex.mqh"</t>
  </si>
  <si>
    <t>#include "..\Trading\Symbols\SymbolIndicative.mqh"</t>
  </si>
  <si>
    <t>#include "..\Trading\Symbols\SymbolMetall.mqh"</t>
  </si>
  <si>
    <t>#include "..\Trading\Symbols\SymbolOption.mqh"</t>
  </si>
  <si>
    <t>#include "..\Trading\Symbols\SymbolStocks.mqh"</t>
  </si>
  <si>
    <t>C:\Users\nguye\AppData\Roaming\MetaQuotes\Terminal\D0E8209F77C8CF37AD8BF550E51FF075\MQL5\Include\Vendors\Anhnt\Library\4. Combination Lib\Defines\Defines.mqh</t>
  </si>
  <si>
    <t>BaseEvent.mqh</t>
  </si>
  <si>
    <t>#include "..\Base\BaseEvent.mqh"</t>
  </si>
  <si>
    <t>#include "..\Base\BaseObjExt.mqh"</t>
  </si>
  <si>
    <t>#include "..\Base\EventBaseObj.mqh"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</si>
</sst>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tabSelected="1"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565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43.2" x14ac:dyDescent="0.3">
      <c r="B10" s="12">
        <v>4</v>
      </c>
      <c r="C10" s="12" t="s">
        <v>44</v>
      </c>
      <c r="D10" s="10" t="s">
        <v>768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57"/>
  <sheetViews>
    <sheetView workbookViewId="0">
      <selection activeCell="D18" sqref="D18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566</v>
      </c>
      <c r="C2" t="s">
        <v>454</v>
      </c>
      <c r="D2" t="s">
        <v>567</v>
      </c>
    </row>
    <row r="3" spans="1:4" x14ac:dyDescent="0.3">
      <c r="A3">
        <v>2</v>
      </c>
      <c r="B3" t="s">
        <v>566</v>
      </c>
      <c r="C3" t="s">
        <v>455</v>
      </c>
      <c r="D3" t="s">
        <v>568</v>
      </c>
    </row>
    <row r="4" spans="1:4" x14ac:dyDescent="0.3">
      <c r="A4">
        <v>3</v>
      </c>
      <c r="B4" t="s">
        <v>566</v>
      </c>
      <c r="C4" t="s">
        <v>422</v>
      </c>
      <c r="D4" t="s">
        <v>569</v>
      </c>
    </row>
    <row r="5" spans="1:4" x14ac:dyDescent="0.3">
      <c r="A5">
        <v>4</v>
      </c>
      <c r="B5" t="s">
        <v>566</v>
      </c>
      <c r="C5" t="s">
        <v>456</v>
      </c>
      <c r="D5" t="s">
        <v>570</v>
      </c>
    </row>
    <row r="6" spans="1:4" x14ac:dyDescent="0.3">
      <c r="A6">
        <v>5</v>
      </c>
      <c r="B6" t="s">
        <v>566</v>
      </c>
      <c r="C6" t="s">
        <v>160</v>
      </c>
      <c r="D6" t="s">
        <v>571</v>
      </c>
    </row>
    <row r="7" spans="1:4" x14ac:dyDescent="0.3">
      <c r="A7">
        <v>6</v>
      </c>
      <c r="B7" t="s">
        <v>566</v>
      </c>
      <c r="C7" t="s">
        <v>423</v>
      </c>
      <c r="D7" t="s">
        <v>572</v>
      </c>
    </row>
    <row r="8" spans="1:4" x14ac:dyDescent="0.3">
      <c r="A8">
        <v>7</v>
      </c>
      <c r="B8" t="s">
        <v>566</v>
      </c>
      <c r="C8" t="s">
        <v>457</v>
      </c>
      <c r="D8" t="s">
        <v>573</v>
      </c>
    </row>
    <row r="9" spans="1:4" x14ac:dyDescent="0.3">
      <c r="A9">
        <v>8</v>
      </c>
      <c r="B9" t="s">
        <v>566</v>
      </c>
      <c r="C9" t="s">
        <v>424</v>
      </c>
      <c r="D9" t="s">
        <v>574</v>
      </c>
    </row>
    <row r="10" spans="1:4" x14ac:dyDescent="0.3">
      <c r="A10">
        <v>9</v>
      </c>
      <c r="B10" t="s">
        <v>566</v>
      </c>
      <c r="C10" t="s">
        <v>458</v>
      </c>
      <c r="D10" t="s">
        <v>575</v>
      </c>
    </row>
    <row r="11" spans="1:4" x14ac:dyDescent="0.3">
      <c r="A11">
        <v>10</v>
      </c>
      <c r="B11" t="s">
        <v>566</v>
      </c>
      <c r="C11" t="s">
        <v>459</v>
      </c>
      <c r="D11" t="s">
        <v>576</v>
      </c>
    </row>
    <row r="12" spans="1:4" x14ac:dyDescent="0.3">
      <c r="A12">
        <v>11</v>
      </c>
      <c r="B12" t="s">
        <v>566</v>
      </c>
      <c r="C12" t="s">
        <v>461</v>
      </c>
      <c r="D12" t="s">
        <v>577</v>
      </c>
    </row>
    <row r="13" spans="1:4" x14ac:dyDescent="0.3">
      <c r="A13">
        <v>12</v>
      </c>
      <c r="B13" t="s">
        <v>566</v>
      </c>
      <c r="C13" t="s">
        <v>462</v>
      </c>
      <c r="D13" t="s">
        <v>578</v>
      </c>
    </row>
    <row r="14" spans="1:4" x14ac:dyDescent="0.3">
      <c r="A14">
        <v>13</v>
      </c>
      <c r="B14" t="s">
        <v>566</v>
      </c>
      <c r="C14" t="s">
        <v>463</v>
      </c>
      <c r="D14" t="s">
        <v>579</v>
      </c>
    </row>
    <row r="15" spans="1:4" x14ac:dyDescent="0.3">
      <c r="A15">
        <v>14</v>
      </c>
      <c r="B15" t="s">
        <v>566</v>
      </c>
      <c r="C15" t="s">
        <v>464</v>
      </c>
      <c r="D15" t="s">
        <v>580</v>
      </c>
    </row>
    <row r="16" spans="1:4" x14ac:dyDescent="0.3">
      <c r="A16">
        <v>15</v>
      </c>
      <c r="B16" t="s">
        <v>566</v>
      </c>
      <c r="C16" t="s">
        <v>465</v>
      </c>
      <c r="D16" t="s">
        <v>581</v>
      </c>
    </row>
    <row r="17" spans="1:4" x14ac:dyDescent="0.3">
      <c r="A17">
        <v>16</v>
      </c>
      <c r="B17" t="s">
        <v>566</v>
      </c>
      <c r="C17" t="s">
        <v>466</v>
      </c>
      <c r="D17" t="s">
        <v>582</v>
      </c>
    </row>
    <row r="18" spans="1:4" x14ac:dyDescent="0.3">
      <c r="A18">
        <v>17</v>
      </c>
      <c r="B18" t="s">
        <v>566</v>
      </c>
      <c r="C18" t="s">
        <v>467</v>
      </c>
      <c r="D18" t="s">
        <v>583</v>
      </c>
    </row>
    <row r="19" spans="1:4" x14ac:dyDescent="0.3">
      <c r="A19">
        <v>18</v>
      </c>
      <c r="B19" t="s">
        <v>584</v>
      </c>
      <c r="C19" t="s">
        <v>151</v>
      </c>
      <c r="D19" t="s">
        <v>585</v>
      </c>
    </row>
    <row r="20" spans="1:4" x14ac:dyDescent="0.3">
      <c r="A20">
        <v>19</v>
      </c>
      <c r="B20" t="s">
        <v>584</v>
      </c>
      <c r="C20" t="s">
        <v>468</v>
      </c>
      <c r="D20" t="s">
        <v>586</v>
      </c>
    </row>
    <row r="21" spans="1:4" x14ac:dyDescent="0.3">
      <c r="A21">
        <v>20</v>
      </c>
      <c r="B21" t="s">
        <v>584</v>
      </c>
      <c r="C21" t="s">
        <v>469</v>
      </c>
      <c r="D21" t="s">
        <v>587</v>
      </c>
    </row>
    <row r="22" spans="1:4" x14ac:dyDescent="0.3">
      <c r="A22">
        <v>21</v>
      </c>
      <c r="B22" t="s">
        <v>584</v>
      </c>
      <c r="C22" t="s">
        <v>158</v>
      </c>
      <c r="D22" t="s">
        <v>588</v>
      </c>
    </row>
    <row r="23" spans="1:4" x14ac:dyDescent="0.3">
      <c r="A23">
        <v>22</v>
      </c>
      <c r="B23" t="s">
        <v>584</v>
      </c>
      <c r="C23" t="s">
        <v>470</v>
      </c>
      <c r="D23" t="s">
        <v>589</v>
      </c>
    </row>
    <row r="24" spans="1:4" x14ac:dyDescent="0.3">
      <c r="A24">
        <v>23</v>
      </c>
      <c r="B24" t="s">
        <v>584</v>
      </c>
      <c r="C24" t="s">
        <v>471</v>
      </c>
      <c r="D24" t="s">
        <v>590</v>
      </c>
    </row>
    <row r="25" spans="1:4" x14ac:dyDescent="0.3">
      <c r="A25">
        <v>24</v>
      </c>
      <c r="B25" t="s">
        <v>584</v>
      </c>
      <c r="C25" t="s">
        <v>472</v>
      </c>
      <c r="D25" t="s">
        <v>591</v>
      </c>
    </row>
    <row r="26" spans="1:4" x14ac:dyDescent="0.3">
      <c r="A26">
        <v>25</v>
      </c>
      <c r="B26" t="s">
        <v>584</v>
      </c>
      <c r="C26" t="s">
        <v>473</v>
      </c>
      <c r="D26" t="s">
        <v>592</v>
      </c>
    </row>
    <row r="27" spans="1:4" x14ac:dyDescent="0.3">
      <c r="A27">
        <v>26</v>
      </c>
      <c r="B27" t="s">
        <v>584</v>
      </c>
      <c r="C27" t="s">
        <v>474</v>
      </c>
      <c r="D27" t="s">
        <v>593</v>
      </c>
    </row>
    <row r="28" spans="1:4" x14ac:dyDescent="0.3">
      <c r="A28">
        <v>27</v>
      </c>
      <c r="B28" t="s">
        <v>584</v>
      </c>
      <c r="C28" t="s">
        <v>475</v>
      </c>
      <c r="D28" t="s">
        <v>594</v>
      </c>
    </row>
    <row r="29" spans="1:4" x14ac:dyDescent="0.3">
      <c r="A29">
        <v>28</v>
      </c>
      <c r="B29" t="s">
        <v>584</v>
      </c>
      <c r="C29" t="s">
        <v>476</v>
      </c>
      <c r="D29" t="s">
        <v>595</v>
      </c>
    </row>
    <row r="30" spans="1:4" x14ac:dyDescent="0.3">
      <c r="A30">
        <v>29</v>
      </c>
      <c r="B30" t="s">
        <v>584</v>
      </c>
      <c r="C30" t="s">
        <v>477</v>
      </c>
      <c r="D30" t="s">
        <v>596</v>
      </c>
    </row>
    <row r="31" spans="1:4" x14ac:dyDescent="0.3">
      <c r="A31">
        <v>30</v>
      </c>
      <c r="B31" t="s">
        <v>584</v>
      </c>
      <c r="C31" t="s">
        <v>478</v>
      </c>
      <c r="D31" t="s">
        <v>597</v>
      </c>
    </row>
    <row r="32" spans="1:4" x14ac:dyDescent="0.3">
      <c r="A32">
        <v>31</v>
      </c>
      <c r="B32" t="s">
        <v>584</v>
      </c>
      <c r="C32" t="s">
        <v>479</v>
      </c>
      <c r="D32" t="s">
        <v>598</v>
      </c>
    </row>
    <row r="33" spans="1:4" x14ac:dyDescent="0.3">
      <c r="A33">
        <v>32</v>
      </c>
      <c r="B33" t="s">
        <v>584</v>
      </c>
      <c r="C33" t="s">
        <v>480</v>
      </c>
      <c r="D33" t="s">
        <v>599</v>
      </c>
    </row>
    <row r="34" spans="1:4" x14ac:dyDescent="0.3">
      <c r="A34">
        <v>33</v>
      </c>
      <c r="B34" t="s">
        <v>584</v>
      </c>
      <c r="C34" t="s">
        <v>481</v>
      </c>
      <c r="D34" t="s">
        <v>600</v>
      </c>
    </row>
    <row r="35" spans="1:4" x14ac:dyDescent="0.3">
      <c r="A35">
        <v>34</v>
      </c>
      <c r="B35" t="s">
        <v>584</v>
      </c>
      <c r="C35" t="s">
        <v>482</v>
      </c>
      <c r="D35" t="s">
        <v>601</v>
      </c>
    </row>
    <row r="36" spans="1:4" x14ac:dyDescent="0.3">
      <c r="A36">
        <v>35</v>
      </c>
      <c r="B36" t="s">
        <v>584</v>
      </c>
      <c r="C36" t="s">
        <v>483</v>
      </c>
      <c r="D36" t="s">
        <v>602</v>
      </c>
    </row>
    <row r="37" spans="1:4" x14ac:dyDescent="0.3">
      <c r="A37">
        <v>36</v>
      </c>
      <c r="B37" t="s">
        <v>584</v>
      </c>
      <c r="C37" t="s">
        <v>484</v>
      </c>
      <c r="D37" t="s">
        <v>603</v>
      </c>
    </row>
    <row r="38" spans="1:4" x14ac:dyDescent="0.3">
      <c r="A38">
        <v>37</v>
      </c>
      <c r="B38" t="s">
        <v>584</v>
      </c>
      <c r="C38" t="s">
        <v>485</v>
      </c>
      <c r="D38" t="s">
        <v>604</v>
      </c>
    </row>
    <row r="39" spans="1:4" x14ac:dyDescent="0.3">
      <c r="A39">
        <v>38</v>
      </c>
      <c r="B39" t="s">
        <v>584</v>
      </c>
      <c r="C39" t="s">
        <v>486</v>
      </c>
      <c r="D39" t="s">
        <v>605</v>
      </c>
    </row>
    <row r="40" spans="1:4" x14ac:dyDescent="0.3">
      <c r="A40">
        <v>39</v>
      </c>
      <c r="B40" t="s">
        <v>584</v>
      </c>
      <c r="C40" t="s">
        <v>487</v>
      </c>
      <c r="D40" t="s">
        <v>606</v>
      </c>
    </row>
    <row r="41" spans="1:4" x14ac:dyDescent="0.3">
      <c r="A41">
        <v>40</v>
      </c>
      <c r="B41" t="s">
        <v>584</v>
      </c>
      <c r="C41" t="s">
        <v>488</v>
      </c>
      <c r="D41" t="s">
        <v>607</v>
      </c>
    </row>
    <row r="42" spans="1:4" x14ac:dyDescent="0.3">
      <c r="A42">
        <v>41</v>
      </c>
      <c r="B42" t="s">
        <v>584</v>
      </c>
      <c r="C42" t="s">
        <v>489</v>
      </c>
      <c r="D42" t="s">
        <v>608</v>
      </c>
    </row>
    <row r="43" spans="1:4" x14ac:dyDescent="0.3">
      <c r="A43">
        <v>42</v>
      </c>
      <c r="B43" t="s">
        <v>584</v>
      </c>
      <c r="C43" t="s">
        <v>490</v>
      </c>
      <c r="D43" t="s">
        <v>609</v>
      </c>
    </row>
    <row r="44" spans="1:4" x14ac:dyDescent="0.3">
      <c r="A44">
        <v>43</v>
      </c>
      <c r="B44" t="s">
        <v>584</v>
      </c>
      <c r="C44" t="s">
        <v>185</v>
      </c>
      <c r="D44" t="s">
        <v>610</v>
      </c>
    </row>
    <row r="45" spans="1:4" x14ac:dyDescent="0.3">
      <c r="A45">
        <v>44</v>
      </c>
      <c r="B45" t="s">
        <v>584</v>
      </c>
      <c r="C45" t="s">
        <v>491</v>
      </c>
      <c r="D45" t="s">
        <v>611</v>
      </c>
    </row>
    <row r="46" spans="1:4" x14ac:dyDescent="0.3">
      <c r="A46">
        <v>45</v>
      </c>
      <c r="B46" t="s">
        <v>584</v>
      </c>
      <c r="C46" t="s">
        <v>492</v>
      </c>
      <c r="D46" t="s">
        <v>612</v>
      </c>
    </row>
    <row r="47" spans="1:4" x14ac:dyDescent="0.3">
      <c r="A47">
        <v>46</v>
      </c>
      <c r="B47" t="s">
        <v>584</v>
      </c>
      <c r="C47" t="s">
        <v>493</v>
      </c>
      <c r="D47" t="s">
        <v>613</v>
      </c>
    </row>
    <row r="48" spans="1:4" x14ac:dyDescent="0.3">
      <c r="A48">
        <v>47</v>
      </c>
      <c r="B48" t="s">
        <v>584</v>
      </c>
      <c r="C48" t="s">
        <v>494</v>
      </c>
      <c r="D48" t="s">
        <v>614</v>
      </c>
    </row>
    <row r="49" spans="1:4" x14ac:dyDescent="0.3">
      <c r="A49">
        <v>48</v>
      </c>
      <c r="B49" t="s">
        <v>584</v>
      </c>
      <c r="C49" t="s">
        <v>495</v>
      </c>
      <c r="D49" t="s">
        <v>615</v>
      </c>
    </row>
    <row r="50" spans="1:4" x14ac:dyDescent="0.3">
      <c r="A50">
        <v>49</v>
      </c>
      <c r="B50" t="s">
        <v>584</v>
      </c>
      <c r="C50" t="s">
        <v>496</v>
      </c>
      <c r="D50" t="s">
        <v>616</v>
      </c>
    </row>
    <row r="51" spans="1:4" x14ac:dyDescent="0.3">
      <c r="A51">
        <v>50</v>
      </c>
      <c r="B51" t="s">
        <v>584</v>
      </c>
      <c r="C51" t="s">
        <v>497</v>
      </c>
      <c r="D51" t="s">
        <v>617</v>
      </c>
    </row>
    <row r="52" spans="1:4" x14ac:dyDescent="0.3">
      <c r="A52">
        <v>51</v>
      </c>
      <c r="B52" t="s">
        <v>584</v>
      </c>
      <c r="C52" t="s">
        <v>498</v>
      </c>
      <c r="D52" t="s">
        <v>618</v>
      </c>
    </row>
    <row r="53" spans="1:4" x14ac:dyDescent="0.3">
      <c r="A53">
        <v>52</v>
      </c>
      <c r="B53" t="s">
        <v>584</v>
      </c>
      <c r="C53" t="s">
        <v>619</v>
      </c>
      <c r="D53" t="s">
        <v>620</v>
      </c>
    </row>
    <row r="54" spans="1:4" x14ac:dyDescent="0.3">
      <c r="A54">
        <v>53</v>
      </c>
      <c r="B54" t="s">
        <v>621</v>
      </c>
      <c r="C54" t="s">
        <v>179</v>
      </c>
      <c r="D54" t="s">
        <v>622</v>
      </c>
    </row>
    <row r="55" spans="1:4" x14ac:dyDescent="0.3">
      <c r="A55">
        <v>54</v>
      </c>
      <c r="B55" t="s">
        <v>623</v>
      </c>
      <c r="C55" t="s">
        <v>499</v>
      </c>
      <c r="D55" t="s">
        <v>624</v>
      </c>
    </row>
    <row r="56" spans="1:4" x14ac:dyDescent="0.3">
      <c r="A56">
        <v>55</v>
      </c>
      <c r="B56" t="s">
        <v>625</v>
      </c>
      <c r="C56" t="s">
        <v>500</v>
      </c>
      <c r="D56" t="s">
        <v>626</v>
      </c>
    </row>
    <row r="57" spans="1:4" x14ac:dyDescent="0.3">
      <c r="A57">
        <v>56</v>
      </c>
      <c r="B57" t="s">
        <v>625</v>
      </c>
      <c r="C57" t="s">
        <v>501</v>
      </c>
      <c r="D57" t="s">
        <v>627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25"/>
  <sheetViews>
    <sheetView workbookViewId="0">
      <selection activeCell="D5" sqref="D5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B2" s="10" t="s">
        <v>43</v>
      </c>
      <c r="C2" s="10" t="s">
        <v>769</v>
      </c>
      <c r="D2" s="10" t="s">
        <v>770</v>
      </c>
    </row>
    <row r="3" spans="1:4" x14ac:dyDescent="0.3">
      <c r="A3" s="10">
        <v>2</v>
      </c>
      <c r="B3" s="10" t="s">
        <v>43</v>
      </c>
      <c r="C3" s="10" t="s">
        <v>141</v>
      </c>
      <c r="D3" s="10" t="s">
        <v>321</v>
      </c>
    </row>
    <row r="4" spans="1:4" x14ac:dyDescent="0.3">
      <c r="A4" s="10">
        <v>3</v>
      </c>
      <c r="B4" s="10" t="s">
        <v>43</v>
      </c>
      <c r="C4" s="10" t="s">
        <v>628</v>
      </c>
      <c r="D4" s="10" t="s">
        <v>771</v>
      </c>
    </row>
    <row r="5" spans="1:4" x14ac:dyDescent="0.3">
      <c r="A5" s="10">
        <v>4</v>
      </c>
      <c r="B5" s="10" t="s">
        <v>43</v>
      </c>
      <c r="C5" s="10" t="s">
        <v>629</v>
      </c>
      <c r="D5" s="10" t="s">
        <v>772</v>
      </c>
    </row>
    <row r="6" spans="1:4" x14ac:dyDescent="0.3">
      <c r="A6" s="10">
        <v>5</v>
      </c>
      <c r="B6" s="10" t="s">
        <v>630</v>
      </c>
      <c r="C6" s="10" t="s">
        <v>631</v>
      </c>
      <c r="D6" s="10" t="s">
        <v>632</v>
      </c>
    </row>
    <row r="7" spans="1:4" x14ac:dyDescent="0.3">
      <c r="A7" s="10">
        <v>6</v>
      </c>
      <c r="B7" s="10" t="s">
        <v>630</v>
      </c>
      <c r="C7" s="10" t="s">
        <v>633</v>
      </c>
      <c r="D7" s="10" t="s">
        <v>634</v>
      </c>
    </row>
    <row r="8" spans="1:4" x14ac:dyDescent="0.3">
      <c r="A8" s="10">
        <v>7</v>
      </c>
      <c r="B8" s="10" t="s">
        <v>630</v>
      </c>
      <c r="C8" s="10" t="s">
        <v>454</v>
      </c>
      <c r="D8" s="10" t="s">
        <v>635</v>
      </c>
    </row>
    <row r="9" spans="1:4" x14ac:dyDescent="0.3">
      <c r="A9" s="10">
        <v>8</v>
      </c>
      <c r="B9" s="10" t="s">
        <v>630</v>
      </c>
      <c r="C9" s="10" t="s">
        <v>455</v>
      </c>
      <c r="D9" s="10" t="s">
        <v>636</v>
      </c>
    </row>
    <row r="10" spans="1:4" x14ac:dyDescent="0.3">
      <c r="A10" s="10">
        <v>9</v>
      </c>
      <c r="B10" s="10" t="s">
        <v>630</v>
      </c>
      <c r="C10" s="10" t="s">
        <v>422</v>
      </c>
      <c r="D10" s="10" t="s">
        <v>637</v>
      </c>
    </row>
    <row r="11" spans="1:4" x14ac:dyDescent="0.3">
      <c r="A11" s="10">
        <v>10</v>
      </c>
      <c r="B11" s="10" t="s">
        <v>630</v>
      </c>
      <c r="C11" s="10" t="s">
        <v>456</v>
      </c>
      <c r="D11" s="10" t="s">
        <v>638</v>
      </c>
    </row>
    <row r="12" spans="1:4" x14ac:dyDescent="0.3">
      <c r="A12" s="10">
        <v>11</v>
      </c>
      <c r="B12" s="10" t="s">
        <v>630</v>
      </c>
      <c r="C12" s="10" t="s">
        <v>160</v>
      </c>
      <c r="D12" s="10" t="s">
        <v>639</v>
      </c>
    </row>
    <row r="13" spans="1:4" x14ac:dyDescent="0.3">
      <c r="A13" s="10">
        <v>12</v>
      </c>
      <c r="B13" s="10" t="s">
        <v>630</v>
      </c>
      <c r="C13" s="10" t="s">
        <v>423</v>
      </c>
      <c r="D13" s="10" t="s">
        <v>640</v>
      </c>
    </row>
    <row r="14" spans="1:4" x14ac:dyDescent="0.3">
      <c r="A14" s="10">
        <v>13</v>
      </c>
      <c r="B14" s="10" t="s">
        <v>630</v>
      </c>
      <c r="C14" s="10" t="s">
        <v>457</v>
      </c>
      <c r="D14" s="10" t="s">
        <v>641</v>
      </c>
    </row>
    <row r="15" spans="1:4" x14ac:dyDescent="0.3">
      <c r="A15" s="10">
        <v>14</v>
      </c>
      <c r="B15" s="10" t="s">
        <v>630</v>
      </c>
      <c r="C15" s="10" t="s">
        <v>424</v>
      </c>
      <c r="D15" s="10" t="s">
        <v>642</v>
      </c>
    </row>
    <row r="16" spans="1:4" x14ac:dyDescent="0.3">
      <c r="A16" s="10">
        <v>15</v>
      </c>
      <c r="B16" s="10" t="s">
        <v>630</v>
      </c>
      <c r="C16" s="10" t="s">
        <v>458</v>
      </c>
      <c r="D16" s="10" t="s">
        <v>643</v>
      </c>
    </row>
    <row r="17" spans="1:4" x14ac:dyDescent="0.3">
      <c r="A17" s="10">
        <v>16</v>
      </c>
      <c r="B17" s="10" t="s">
        <v>630</v>
      </c>
      <c r="C17" s="10" t="s">
        <v>459</v>
      </c>
      <c r="D17" s="10" t="s">
        <v>644</v>
      </c>
    </row>
    <row r="18" spans="1:4" x14ac:dyDescent="0.3">
      <c r="A18" s="10">
        <v>17</v>
      </c>
      <c r="B18" s="10" t="s">
        <v>630</v>
      </c>
      <c r="C18" s="10" t="s">
        <v>460</v>
      </c>
      <c r="D18" s="10" t="s">
        <v>645</v>
      </c>
    </row>
    <row r="19" spans="1:4" x14ac:dyDescent="0.3">
      <c r="A19" s="10">
        <v>18</v>
      </c>
      <c r="B19" s="10" t="s">
        <v>630</v>
      </c>
      <c r="C19" s="10" t="s">
        <v>461</v>
      </c>
      <c r="D19" s="10" t="s">
        <v>646</v>
      </c>
    </row>
    <row r="20" spans="1:4" x14ac:dyDescent="0.3">
      <c r="A20" s="10">
        <v>19</v>
      </c>
      <c r="B20" s="10" t="s">
        <v>630</v>
      </c>
      <c r="C20" s="10" t="s">
        <v>462</v>
      </c>
      <c r="D20" s="10" t="s">
        <v>647</v>
      </c>
    </row>
    <row r="21" spans="1:4" x14ac:dyDescent="0.3">
      <c r="A21" s="10">
        <v>20</v>
      </c>
      <c r="B21" s="10" t="s">
        <v>630</v>
      </c>
      <c r="C21" s="10" t="s">
        <v>463</v>
      </c>
      <c r="D21" s="10" t="s">
        <v>648</v>
      </c>
    </row>
    <row r="22" spans="1:4" x14ac:dyDescent="0.3">
      <c r="A22" s="10">
        <v>21</v>
      </c>
      <c r="B22" s="10" t="s">
        <v>630</v>
      </c>
      <c r="C22" s="10" t="s">
        <v>464</v>
      </c>
      <c r="D22" s="10" t="s">
        <v>649</v>
      </c>
    </row>
    <row r="23" spans="1:4" x14ac:dyDescent="0.3">
      <c r="A23" s="10">
        <v>22</v>
      </c>
      <c r="B23" s="10" t="s">
        <v>630</v>
      </c>
      <c r="C23" s="10" t="s">
        <v>465</v>
      </c>
      <c r="D23" s="10" t="s">
        <v>650</v>
      </c>
    </row>
    <row r="24" spans="1:4" x14ac:dyDescent="0.3">
      <c r="A24" s="10">
        <v>23</v>
      </c>
      <c r="B24" s="10" t="s">
        <v>630</v>
      </c>
      <c r="C24" s="10" t="s">
        <v>466</v>
      </c>
      <c r="D24" s="10" t="s">
        <v>651</v>
      </c>
    </row>
    <row r="25" spans="1:4" x14ac:dyDescent="0.3">
      <c r="A25" s="10">
        <v>24</v>
      </c>
      <c r="B25" s="10" t="s">
        <v>630</v>
      </c>
      <c r="C25" s="10" t="s">
        <v>467</v>
      </c>
      <c r="D25" s="10" t="s">
        <v>652</v>
      </c>
    </row>
    <row r="26" spans="1:4" x14ac:dyDescent="0.3">
      <c r="A26" s="10">
        <v>25</v>
      </c>
      <c r="B26" s="10" t="s">
        <v>653</v>
      </c>
      <c r="C26" s="10" t="s">
        <v>151</v>
      </c>
      <c r="D26" s="10" t="s">
        <v>654</v>
      </c>
    </row>
    <row r="27" spans="1:4" x14ac:dyDescent="0.3">
      <c r="A27" s="10">
        <v>26</v>
      </c>
      <c r="B27" s="10" t="s">
        <v>653</v>
      </c>
      <c r="C27" s="10" t="s">
        <v>468</v>
      </c>
      <c r="D27" s="10" t="s">
        <v>655</v>
      </c>
    </row>
    <row r="28" spans="1:4" x14ac:dyDescent="0.3">
      <c r="A28" s="10">
        <v>27</v>
      </c>
      <c r="B28" s="10" t="s">
        <v>653</v>
      </c>
      <c r="C28" s="10" t="s">
        <v>469</v>
      </c>
      <c r="D28" s="10" t="s">
        <v>656</v>
      </c>
    </row>
    <row r="29" spans="1:4" x14ac:dyDescent="0.3">
      <c r="A29" s="10">
        <v>28</v>
      </c>
      <c r="B29" s="10" t="s">
        <v>653</v>
      </c>
      <c r="C29" s="10" t="s">
        <v>158</v>
      </c>
      <c r="D29" s="10" t="s">
        <v>657</v>
      </c>
    </row>
    <row r="30" spans="1:4" x14ac:dyDescent="0.3">
      <c r="A30" s="10">
        <v>29</v>
      </c>
      <c r="B30" s="10" t="s">
        <v>653</v>
      </c>
      <c r="C30" s="10" t="s">
        <v>470</v>
      </c>
      <c r="D30" s="10" t="s">
        <v>658</v>
      </c>
    </row>
    <row r="31" spans="1:4" x14ac:dyDescent="0.3">
      <c r="A31" s="10">
        <v>30</v>
      </c>
      <c r="B31" s="10" t="s">
        <v>653</v>
      </c>
      <c r="C31" s="10" t="s">
        <v>471</v>
      </c>
      <c r="D31" s="10" t="s">
        <v>659</v>
      </c>
    </row>
    <row r="32" spans="1:4" x14ac:dyDescent="0.3">
      <c r="A32" s="10">
        <v>31</v>
      </c>
      <c r="B32" s="10" t="s">
        <v>653</v>
      </c>
      <c r="C32" s="10" t="s">
        <v>472</v>
      </c>
      <c r="D32" s="10" t="s">
        <v>660</v>
      </c>
    </row>
    <row r="33" spans="1:4" x14ac:dyDescent="0.3">
      <c r="A33" s="10">
        <v>32</v>
      </c>
      <c r="B33" s="10" t="s">
        <v>653</v>
      </c>
      <c r="C33" s="10" t="s">
        <v>473</v>
      </c>
      <c r="D33" s="10" t="s">
        <v>661</v>
      </c>
    </row>
    <row r="34" spans="1:4" x14ac:dyDescent="0.3">
      <c r="A34" s="10">
        <v>33</v>
      </c>
      <c r="B34" s="10" t="s">
        <v>653</v>
      </c>
      <c r="C34" s="10" t="s">
        <v>474</v>
      </c>
      <c r="D34" s="10" t="s">
        <v>662</v>
      </c>
    </row>
    <row r="35" spans="1:4" x14ac:dyDescent="0.3">
      <c r="A35" s="10">
        <v>34</v>
      </c>
      <c r="B35" s="10" t="s">
        <v>653</v>
      </c>
      <c r="C35" s="10" t="s">
        <v>475</v>
      </c>
      <c r="D35" s="10" t="s">
        <v>663</v>
      </c>
    </row>
    <row r="36" spans="1:4" x14ac:dyDescent="0.3">
      <c r="A36" s="10">
        <v>35</v>
      </c>
      <c r="B36" s="10" t="s">
        <v>653</v>
      </c>
      <c r="C36" s="10" t="s">
        <v>476</v>
      </c>
      <c r="D36" s="10" t="s">
        <v>664</v>
      </c>
    </row>
    <row r="37" spans="1:4" x14ac:dyDescent="0.3">
      <c r="A37" s="10">
        <v>36</v>
      </c>
      <c r="B37" s="10" t="s">
        <v>653</v>
      </c>
      <c r="C37" s="10" t="s">
        <v>477</v>
      </c>
      <c r="D37" s="10" t="s">
        <v>665</v>
      </c>
    </row>
    <row r="38" spans="1:4" x14ac:dyDescent="0.3">
      <c r="A38" s="10">
        <v>37</v>
      </c>
      <c r="B38" s="10" t="s">
        <v>653</v>
      </c>
      <c r="C38" s="10" t="s">
        <v>478</v>
      </c>
      <c r="D38" s="10" t="s">
        <v>666</v>
      </c>
    </row>
    <row r="39" spans="1:4" x14ac:dyDescent="0.3">
      <c r="A39" s="10">
        <v>38</v>
      </c>
      <c r="B39" s="10" t="s">
        <v>653</v>
      </c>
      <c r="C39" s="10" t="s">
        <v>479</v>
      </c>
      <c r="D39" s="10" t="s">
        <v>667</v>
      </c>
    </row>
    <row r="40" spans="1:4" x14ac:dyDescent="0.3">
      <c r="A40" s="10">
        <v>39</v>
      </c>
      <c r="B40" s="10" t="s">
        <v>653</v>
      </c>
      <c r="C40" s="10" t="s">
        <v>480</v>
      </c>
      <c r="D40" s="10" t="s">
        <v>668</v>
      </c>
    </row>
    <row r="41" spans="1:4" x14ac:dyDescent="0.3">
      <c r="A41" s="10">
        <v>40</v>
      </c>
      <c r="B41" s="10" t="s">
        <v>653</v>
      </c>
      <c r="C41" s="10" t="s">
        <v>481</v>
      </c>
      <c r="D41" s="10" t="s">
        <v>669</v>
      </c>
    </row>
    <row r="42" spans="1:4" x14ac:dyDescent="0.3">
      <c r="A42" s="10">
        <v>41</v>
      </c>
      <c r="B42" s="10" t="s">
        <v>653</v>
      </c>
      <c r="C42" s="10" t="s">
        <v>482</v>
      </c>
      <c r="D42" s="10" t="s">
        <v>670</v>
      </c>
    </row>
    <row r="43" spans="1:4" x14ac:dyDescent="0.3">
      <c r="A43" s="10">
        <v>42</v>
      </c>
      <c r="B43" s="10" t="s">
        <v>653</v>
      </c>
      <c r="C43" s="10" t="s">
        <v>483</v>
      </c>
      <c r="D43" s="10" t="s">
        <v>671</v>
      </c>
    </row>
    <row r="44" spans="1:4" x14ac:dyDescent="0.3">
      <c r="A44" s="10">
        <v>43</v>
      </c>
      <c r="B44" s="10" t="s">
        <v>653</v>
      </c>
      <c r="C44" s="10" t="s">
        <v>484</v>
      </c>
      <c r="D44" s="10" t="s">
        <v>672</v>
      </c>
    </row>
    <row r="45" spans="1:4" x14ac:dyDescent="0.3">
      <c r="A45" s="10">
        <v>44</v>
      </c>
      <c r="B45" s="10" t="s">
        <v>653</v>
      </c>
      <c r="C45" s="10" t="s">
        <v>485</v>
      </c>
      <c r="D45" s="10" t="s">
        <v>673</v>
      </c>
    </row>
    <row r="46" spans="1:4" x14ac:dyDescent="0.3">
      <c r="A46" s="10">
        <v>45</v>
      </c>
      <c r="B46" s="10" t="s">
        <v>653</v>
      </c>
      <c r="C46" s="10" t="s">
        <v>486</v>
      </c>
      <c r="D46" s="10" t="s">
        <v>674</v>
      </c>
    </row>
    <row r="47" spans="1:4" x14ac:dyDescent="0.3">
      <c r="A47" s="10">
        <v>46</v>
      </c>
      <c r="B47" s="10" t="s">
        <v>653</v>
      </c>
      <c r="C47" s="10" t="s">
        <v>487</v>
      </c>
      <c r="D47" s="10" t="s">
        <v>675</v>
      </c>
    </row>
    <row r="48" spans="1:4" x14ac:dyDescent="0.3">
      <c r="A48" s="10">
        <v>47</v>
      </c>
      <c r="B48" s="10" t="s">
        <v>653</v>
      </c>
      <c r="C48" s="10" t="s">
        <v>488</v>
      </c>
      <c r="D48" s="10" t="s">
        <v>676</v>
      </c>
    </row>
    <row r="49" spans="1:4" x14ac:dyDescent="0.3">
      <c r="A49" s="10">
        <v>48</v>
      </c>
      <c r="B49" s="10" t="s">
        <v>653</v>
      </c>
      <c r="C49" s="10" t="s">
        <v>489</v>
      </c>
      <c r="D49" s="10" t="s">
        <v>677</v>
      </c>
    </row>
    <row r="50" spans="1:4" x14ac:dyDescent="0.3">
      <c r="A50" s="10">
        <v>49</v>
      </c>
      <c r="B50" s="10" t="s">
        <v>653</v>
      </c>
      <c r="C50" s="10" t="s">
        <v>490</v>
      </c>
      <c r="D50" s="10" t="s">
        <v>678</v>
      </c>
    </row>
    <row r="51" spans="1:4" x14ac:dyDescent="0.3">
      <c r="A51" s="10">
        <v>50</v>
      </c>
      <c r="B51" s="10" t="s">
        <v>653</v>
      </c>
      <c r="C51" s="10" t="s">
        <v>185</v>
      </c>
      <c r="D51" s="10" t="s">
        <v>679</v>
      </c>
    </row>
    <row r="52" spans="1:4" x14ac:dyDescent="0.3">
      <c r="A52" s="10">
        <v>51</v>
      </c>
      <c r="B52" s="10" t="s">
        <v>653</v>
      </c>
      <c r="C52" s="10" t="s">
        <v>491</v>
      </c>
      <c r="D52" s="10" t="s">
        <v>680</v>
      </c>
    </row>
    <row r="53" spans="1:4" x14ac:dyDescent="0.3">
      <c r="A53" s="10">
        <v>52</v>
      </c>
      <c r="B53" s="10" t="s">
        <v>653</v>
      </c>
      <c r="C53" s="10" t="s">
        <v>492</v>
      </c>
      <c r="D53" s="10" t="s">
        <v>681</v>
      </c>
    </row>
    <row r="54" spans="1:4" x14ac:dyDescent="0.3">
      <c r="A54" s="10">
        <v>53</v>
      </c>
      <c r="B54" s="10" t="s">
        <v>653</v>
      </c>
      <c r="C54" s="10" t="s">
        <v>493</v>
      </c>
      <c r="D54" s="10" t="s">
        <v>682</v>
      </c>
    </row>
    <row r="55" spans="1:4" x14ac:dyDescent="0.3">
      <c r="A55" s="10">
        <v>54</v>
      </c>
      <c r="B55" s="10" t="s">
        <v>653</v>
      </c>
      <c r="C55" s="10" t="s">
        <v>494</v>
      </c>
      <c r="D55" s="10" t="s">
        <v>683</v>
      </c>
    </row>
    <row r="56" spans="1:4" x14ac:dyDescent="0.3">
      <c r="A56" s="10">
        <v>55</v>
      </c>
      <c r="B56" s="10" t="s">
        <v>653</v>
      </c>
      <c r="C56" s="10" t="s">
        <v>495</v>
      </c>
      <c r="D56" s="10" t="s">
        <v>684</v>
      </c>
    </row>
    <row r="57" spans="1:4" x14ac:dyDescent="0.3">
      <c r="A57" s="10">
        <v>56</v>
      </c>
      <c r="B57" s="10" t="s">
        <v>653</v>
      </c>
      <c r="C57" s="10" t="s">
        <v>496</v>
      </c>
      <c r="D57" s="10" t="s">
        <v>685</v>
      </c>
    </row>
    <row r="58" spans="1:4" x14ac:dyDescent="0.3">
      <c r="A58" s="10">
        <v>57</v>
      </c>
      <c r="B58" s="10" t="s">
        <v>653</v>
      </c>
      <c r="C58" s="10" t="s">
        <v>497</v>
      </c>
      <c r="D58" s="10" t="s">
        <v>686</v>
      </c>
    </row>
    <row r="59" spans="1:4" x14ac:dyDescent="0.3">
      <c r="A59" s="10">
        <v>58</v>
      </c>
      <c r="B59" s="10" t="s">
        <v>653</v>
      </c>
      <c r="C59" s="10" t="s">
        <v>498</v>
      </c>
      <c r="D59" s="10" t="s">
        <v>687</v>
      </c>
    </row>
    <row r="60" spans="1:4" x14ac:dyDescent="0.3">
      <c r="A60" s="10">
        <v>59</v>
      </c>
      <c r="B60" s="10" t="s">
        <v>653</v>
      </c>
      <c r="C60" s="10" t="s">
        <v>619</v>
      </c>
      <c r="D60" s="10" t="s">
        <v>688</v>
      </c>
    </row>
    <row r="61" spans="1:4" x14ac:dyDescent="0.3">
      <c r="A61" s="10">
        <v>60</v>
      </c>
      <c r="B61" s="10" t="s">
        <v>689</v>
      </c>
      <c r="C61" s="10" t="s">
        <v>179</v>
      </c>
      <c r="D61" s="10" t="s">
        <v>690</v>
      </c>
    </row>
    <row r="62" spans="1:4" x14ac:dyDescent="0.3">
      <c r="A62" s="10">
        <v>61</v>
      </c>
      <c r="B62" s="10" t="s">
        <v>691</v>
      </c>
      <c r="C62" s="10" t="s">
        <v>499</v>
      </c>
      <c r="D62" s="10" t="s">
        <v>692</v>
      </c>
    </row>
    <row r="63" spans="1:4" x14ac:dyDescent="0.3">
      <c r="A63" s="10">
        <v>62</v>
      </c>
      <c r="B63" s="10" t="s">
        <v>693</v>
      </c>
      <c r="C63" s="10" t="s">
        <v>500</v>
      </c>
      <c r="D63" s="10" t="s">
        <v>694</v>
      </c>
    </row>
    <row r="64" spans="1:4" x14ac:dyDescent="0.3">
      <c r="A64" s="10">
        <v>63</v>
      </c>
      <c r="B64" s="10" t="s">
        <v>693</v>
      </c>
      <c r="C64" s="10" t="s">
        <v>501</v>
      </c>
      <c r="D64" s="10" t="s">
        <v>695</v>
      </c>
    </row>
    <row r="65" spans="1:4" x14ac:dyDescent="0.3">
      <c r="A65" s="10">
        <v>64</v>
      </c>
      <c r="B65" s="10" t="s">
        <v>696</v>
      </c>
      <c r="C65" s="10" t="s">
        <v>564</v>
      </c>
      <c r="D65" s="10" t="s">
        <v>697</v>
      </c>
    </row>
    <row r="66" spans="1:4" x14ac:dyDescent="0.3">
      <c r="A66" s="10">
        <v>65</v>
      </c>
      <c r="B66" s="10" t="s">
        <v>696</v>
      </c>
      <c r="C66" s="10" t="s">
        <v>698</v>
      </c>
      <c r="D66" s="10" t="s">
        <v>699</v>
      </c>
    </row>
    <row r="67" spans="1:4" x14ac:dyDescent="0.3">
      <c r="A67" s="10">
        <v>66</v>
      </c>
      <c r="B67" s="10" t="s">
        <v>696</v>
      </c>
      <c r="C67" s="10" t="s">
        <v>700</v>
      </c>
      <c r="D67" s="10" t="s">
        <v>701</v>
      </c>
    </row>
    <row r="68" spans="1:4" x14ac:dyDescent="0.3">
      <c r="A68" s="10">
        <v>67</v>
      </c>
      <c r="B68" s="10" t="s">
        <v>702</v>
      </c>
      <c r="C68" s="10" t="s">
        <v>563</v>
      </c>
      <c r="D68" s="10" t="s">
        <v>703</v>
      </c>
    </row>
    <row r="69" spans="1:4" x14ac:dyDescent="0.3">
      <c r="A69" s="10">
        <v>68</v>
      </c>
      <c r="B69" s="10" t="s">
        <v>704</v>
      </c>
      <c r="C69" s="10" t="s">
        <v>513</v>
      </c>
      <c r="D69" s="10" t="s">
        <v>705</v>
      </c>
    </row>
    <row r="70" spans="1:4" x14ac:dyDescent="0.3">
      <c r="A70" s="10">
        <v>69</v>
      </c>
      <c r="B70" s="10" t="s">
        <v>706</v>
      </c>
      <c r="C70" s="10" t="s">
        <v>514</v>
      </c>
      <c r="D70" s="10" t="s">
        <v>707</v>
      </c>
    </row>
    <row r="71" spans="1:4" x14ac:dyDescent="0.3">
      <c r="A71" s="10">
        <v>70</v>
      </c>
      <c r="B71" s="10" t="s">
        <v>706</v>
      </c>
      <c r="C71" s="10" t="s">
        <v>515</v>
      </c>
      <c r="D71" s="10" t="s">
        <v>708</v>
      </c>
    </row>
    <row r="72" spans="1:4" x14ac:dyDescent="0.3">
      <c r="A72" s="10">
        <v>71</v>
      </c>
      <c r="B72" s="10" t="s">
        <v>706</v>
      </c>
      <c r="C72" s="10" t="s">
        <v>516</v>
      </c>
      <c r="D72" s="10" t="s">
        <v>709</v>
      </c>
    </row>
    <row r="73" spans="1:4" x14ac:dyDescent="0.3">
      <c r="A73" s="10">
        <v>72</v>
      </c>
      <c r="B73" s="10" t="s">
        <v>706</v>
      </c>
      <c r="C73" s="10" t="s">
        <v>517</v>
      </c>
      <c r="D73" s="10" t="s">
        <v>710</v>
      </c>
    </row>
    <row r="74" spans="1:4" x14ac:dyDescent="0.3">
      <c r="A74" s="10">
        <v>73</v>
      </c>
      <c r="B74" s="10" t="s">
        <v>706</v>
      </c>
      <c r="C74" s="10" t="s">
        <v>518</v>
      </c>
      <c r="D74" s="10" t="s">
        <v>711</v>
      </c>
    </row>
    <row r="75" spans="1:4" x14ac:dyDescent="0.3">
      <c r="A75" s="10">
        <v>74</v>
      </c>
      <c r="B75" s="10" t="s">
        <v>706</v>
      </c>
      <c r="C75" s="10" t="s">
        <v>519</v>
      </c>
      <c r="D75" s="10" t="s">
        <v>712</v>
      </c>
    </row>
    <row r="76" spans="1:4" x14ac:dyDescent="0.3">
      <c r="A76" s="10">
        <v>75</v>
      </c>
      <c r="B76" s="10" t="s">
        <v>706</v>
      </c>
      <c r="C76" s="10" t="s">
        <v>520</v>
      </c>
      <c r="D76" s="10" t="s">
        <v>713</v>
      </c>
    </row>
    <row r="77" spans="1:4" x14ac:dyDescent="0.3">
      <c r="A77" s="10">
        <v>76</v>
      </c>
      <c r="B77" s="10" t="s">
        <v>714</v>
      </c>
      <c r="C77" s="10" t="s">
        <v>506</v>
      </c>
      <c r="D77" s="10" t="s">
        <v>715</v>
      </c>
    </row>
    <row r="78" spans="1:4" x14ac:dyDescent="0.3">
      <c r="A78" s="10">
        <v>77</v>
      </c>
      <c r="B78" s="10" t="s">
        <v>714</v>
      </c>
      <c r="C78" s="10" t="s">
        <v>507</v>
      </c>
      <c r="D78" s="10" t="s">
        <v>716</v>
      </c>
    </row>
    <row r="79" spans="1:4" x14ac:dyDescent="0.3">
      <c r="A79" s="10">
        <v>78</v>
      </c>
      <c r="B79" s="10" t="s">
        <v>714</v>
      </c>
      <c r="C79" s="10" t="s">
        <v>508</v>
      </c>
      <c r="D79" s="10" t="s">
        <v>717</v>
      </c>
    </row>
    <row r="80" spans="1:4" x14ac:dyDescent="0.3">
      <c r="A80" s="10">
        <v>79</v>
      </c>
      <c r="B80" s="10" t="s">
        <v>714</v>
      </c>
      <c r="C80" s="10" t="s">
        <v>509</v>
      </c>
      <c r="D80" s="10" t="s">
        <v>718</v>
      </c>
    </row>
    <row r="81" spans="1:4" x14ac:dyDescent="0.3">
      <c r="A81" s="10">
        <v>80</v>
      </c>
      <c r="B81" s="10" t="s">
        <v>714</v>
      </c>
      <c r="C81" s="10" t="s">
        <v>510</v>
      </c>
      <c r="D81" s="10" t="s">
        <v>719</v>
      </c>
    </row>
    <row r="82" spans="1:4" x14ac:dyDescent="0.3">
      <c r="A82" s="10">
        <v>81</v>
      </c>
      <c r="B82" s="10" t="s">
        <v>714</v>
      </c>
      <c r="C82" s="10" t="s">
        <v>511</v>
      </c>
      <c r="D82" s="10" t="s">
        <v>720</v>
      </c>
    </row>
    <row r="83" spans="1:4" x14ac:dyDescent="0.3">
      <c r="A83" s="10">
        <v>82</v>
      </c>
      <c r="B83" s="10" t="s">
        <v>714</v>
      </c>
      <c r="C83" s="10" t="s">
        <v>512</v>
      </c>
      <c r="D83" s="10" t="s">
        <v>721</v>
      </c>
    </row>
    <row r="84" spans="1:4" x14ac:dyDescent="0.3">
      <c r="A84" s="10">
        <v>83</v>
      </c>
      <c r="B84" s="10" t="s">
        <v>722</v>
      </c>
      <c r="C84" s="10" t="s">
        <v>521</v>
      </c>
      <c r="D84" s="10" t="s">
        <v>723</v>
      </c>
    </row>
    <row r="85" spans="1:4" x14ac:dyDescent="0.3">
      <c r="A85" s="10">
        <v>84</v>
      </c>
      <c r="B85" s="10" t="s">
        <v>722</v>
      </c>
      <c r="C85" s="10" t="s">
        <v>522</v>
      </c>
      <c r="D85" s="10" t="s">
        <v>724</v>
      </c>
    </row>
    <row r="86" spans="1:4" x14ac:dyDescent="0.3">
      <c r="A86" s="10">
        <v>85</v>
      </c>
      <c r="B86" s="10" t="s">
        <v>722</v>
      </c>
      <c r="C86" s="10" t="s">
        <v>523</v>
      </c>
      <c r="D86" s="10" t="s">
        <v>725</v>
      </c>
    </row>
    <row r="87" spans="1:4" x14ac:dyDescent="0.3">
      <c r="A87" s="10">
        <v>86</v>
      </c>
      <c r="B87" s="10" t="s">
        <v>722</v>
      </c>
      <c r="C87" s="10" t="s">
        <v>524</v>
      </c>
      <c r="D87" s="10" t="s">
        <v>726</v>
      </c>
    </row>
    <row r="88" spans="1:4" x14ac:dyDescent="0.3">
      <c r="A88" s="10">
        <v>87</v>
      </c>
      <c r="B88" s="10" t="s">
        <v>722</v>
      </c>
      <c r="C88" s="10" t="s">
        <v>525</v>
      </c>
      <c r="D88" s="10" t="s">
        <v>727</v>
      </c>
    </row>
    <row r="89" spans="1:4" x14ac:dyDescent="0.3">
      <c r="A89" s="10">
        <v>88</v>
      </c>
      <c r="B89" s="10" t="s">
        <v>722</v>
      </c>
      <c r="C89" s="10" t="s">
        <v>526</v>
      </c>
      <c r="D89" s="10" t="s">
        <v>728</v>
      </c>
    </row>
    <row r="90" spans="1:4" x14ac:dyDescent="0.3">
      <c r="A90" s="10">
        <v>89</v>
      </c>
      <c r="B90" s="10" t="s">
        <v>722</v>
      </c>
      <c r="C90" s="10" t="s">
        <v>527</v>
      </c>
      <c r="D90" s="10" t="s">
        <v>729</v>
      </c>
    </row>
    <row r="91" spans="1:4" x14ac:dyDescent="0.3">
      <c r="A91" s="10">
        <v>90</v>
      </c>
      <c r="B91" s="10" t="s">
        <v>730</v>
      </c>
      <c r="C91" s="10" t="s">
        <v>528</v>
      </c>
      <c r="D91" s="10" t="s">
        <v>731</v>
      </c>
    </row>
    <row r="92" spans="1:4" x14ac:dyDescent="0.3">
      <c r="A92" s="10">
        <v>91</v>
      </c>
      <c r="B92" s="10" t="s">
        <v>730</v>
      </c>
      <c r="C92" s="10" t="s">
        <v>529</v>
      </c>
      <c r="D92" s="10" t="s">
        <v>732</v>
      </c>
    </row>
    <row r="93" spans="1:4" x14ac:dyDescent="0.3">
      <c r="A93" s="10">
        <v>92</v>
      </c>
      <c r="B93" s="10" t="s">
        <v>730</v>
      </c>
      <c r="C93" s="10" t="s">
        <v>530</v>
      </c>
      <c r="D93" s="10" t="s">
        <v>733</v>
      </c>
    </row>
    <row r="94" spans="1:4" x14ac:dyDescent="0.3">
      <c r="A94" s="10">
        <v>93</v>
      </c>
      <c r="B94" s="10" t="s">
        <v>730</v>
      </c>
      <c r="C94" s="10" t="s">
        <v>531</v>
      </c>
      <c r="D94" s="10" t="s">
        <v>734</v>
      </c>
    </row>
    <row r="95" spans="1:4" x14ac:dyDescent="0.3">
      <c r="A95" s="10">
        <v>94</v>
      </c>
      <c r="B95" s="10" t="s">
        <v>730</v>
      </c>
      <c r="C95" s="10" t="s">
        <v>532</v>
      </c>
      <c r="D95" s="10" t="s">
        <v>735</v>
      </c>
    </row>
    <row r="96" spans="1:4" x14ac:dyDescent="0.3">
      <c r="A96" s="10">
        <v>95</v>
      </c>
      <c r="B96" s="10" t="s">
        <v>730</v>
      </c>
      <c r="C96" s="10" t="s">
        <v>533</v>
      </c>
      <c r="D96" s="10" t="s">
        <v>736</v>
      </c>
    </row>
    <row r="97" spans="1:4" x14ac:dyDescent="0.3">
      <c r="A97" s="10">
        <v>96</v>
      </c>
      <c r="B97" s="10" t="s">
        <v>730</v>
      </c>
      <c r="C97" s="10" t="s">
        <v>534</v>
      </c>
      <c r="D97" s="10" t="s">
        <v>737</v>
      </c>
    </row>
    <row r="98" spans="1:4" x14ac:dyDescent="0.3">
      <c r="A98" s="10">
        <v>97</v>
      </c>
      <c r="B98" s="10" t="s">
        <v>730</v>
      </c>
      <c r="C98" s="10" t="s">
        <v>535</v>
      </c>
      <c r="D98" s="10" t="s">
        <v>738</v>
      </c>
    </row>
    <row r="99" spans="1:4" x14ac:dyDescent="0.3">
      <c r="A99" s="10">
        <v>98</v>
      </c>
      <c r="B99" s="10" t="s">
        <v>739</v>
      </c>
      <c r="C99" s="10" t="s">
        <v>536</v>
      </c>
      <c r="D99" s="10" t="s">
        <v>740</v>
      </c>
    </row>
    <row r="100" spans="1:4" x14ac:dyDescent="0.3">
      <c r="A100" s="10">
        <v>99</v>
      </c>
      <c r="B100" s="10" t="s">
        <v>739</v>
      </c>
      <c r="C100" s="10" t="s">
        <v>537</v>
      </c>
      <c r="D100" s="10" t="s">
        <v>741</v>
      </c>
    </row>
    <row r="101" spans="1:4" x14ac:dyDescent="0.3">
      <c r="A101" s="10">
        <v>100</v>
      </c>
      <c r="B101" s="10" t="s">
        <v>739</v>
      </c>
      <c r="C101" s="10" t="s">
        <v>538</v>
      </c>
      <c r="D101" s="10" t="s">
        <v>742</v>
      </c>
    </row>
    <row r="102" spans="1:4" x14ac:dyDescent="0.3">
      <c r="A102" s="10">
        <v>101</v>
      </c>
      <c r="B102" s="10" t="s">
        <v>739</v>
      </c>
      <c r="C102" s="10" t="s">
        <v>539</v>
      </c>
      <c r="D102" s="10" t="s">
        <v>743</v>
      </c>
    </row>
    <row r="103" spans="1:4" x14ac:dyDescent="0.3">
      <c r="A103" s="10">
        <v>102</v>
      </c>
      <c r="B103" s="10" t="s">
        <v>739</v>
      </c>
      <c r="C103" s="10" t="s">
        <v>540</v>
      </c>
      <c r="D103" s="10" t="s">
        <v>744</v>
      </c>
    </row>
    <row r="104" spans="1:4" x14ac:dyDescent="0.3">
      <c r="A104" s="10">
        <v>103</v>
      </c>
      <c r="B104" s="10" t="s">
        <v>739</v>
      </c>
      <c r="C104" s="10" t="s">
        <v>541</v>
      </c>
      <c r="D104" s="10" t="s">
        <v>745</v>
      </c>
    </row>
    <row r="105" spans="1:4" x14ac:dyDescent="0.3">
      <c r="A105" s="10">
        <v>104</v>
      </c>
      <c r="B105" s="10" t="s">
        <v>739</v>
      </c>
      <c r="C105" s="10" t="s">
        <v>542</v>
      </c>
      <c r="D105" s="10" t="s">
        <v>746</v>
      </c>
    </row>
    <row r="106" spans="1:4" x14ac:dyDescent="0.3">
      <c r="A106" s="10">
        <v>105</v>
      </c>
      <c r="B106" s="10" t="s">
        <v>747</v>
      </c>
      <c r="C106" s="10" t="s">
        <v>543</v>
      </c>
      <c r="D106" s="10" t="s">
        <v>748</v>
      </c>
    </row>
    <row r="107" spans="1:4" x14ac:dyDescent="0.3">
      <c r="A107" s="10">
        <v>106</v>
      </c>
      <c r="B107" s="10" t="s">
        <v>747</v>
      </c>
      <c r="C107" s="10" t="s">
        <v>544</v>
      </c>
      <c r="D107" s="10" t="s">
        <v>749</v>
      </c>
    </row>
    <row r="108" spans="1:4" x14ac:dyDescent="0.3">
      <c r="A108" s="10">
        <v>107</v>
      </c>
      <c r="B108" s="10" t="s">
        <v>747</v>
      </c>
      <c r="C108" s="10" t="s">
        <v>545</v>
      </c>
      <c r="D108" s="10" t="s">
        <v>750</v>
      </c>
    </row>
    <row r="109" spans="1:4" x14ac:dyDescent="0.3">
      <c r="A109" s="10">
        <v>108</v>
      </c>
      <c r="B109" s="10" t="s">
        <v>747</v>
      </c>
      <c r="C109" s="10" t="s">
        <v>546</v>
      </c>
      <c r="D109" s="10" t="s">
        <v>751</v>
      </c>
    </row>
    <row r="110" spans="1:4" x14ac:dyDescent="0.3">
      <c r="A110" s="10">
        <v>109</v>
      </c>
      <c r="B110" s="10" t="s">
        <v>747</v>
      </c>
      <c r="C110" s="10" t="s">
        <v>547</v>
      </c>
      <c r="D110" s="10" t="s">
        <v>752</v>
      </c>
    </row>
    <row r="111" spans="1:4" x14ac:dyDescent="0.3">
      <c r="A111" s="10">
        <v>110</v>
      </c>
      <c r="B111" s="10" t="s">
        <v>747</v>
      </c>
      <c r="C111" s="10" t="s">
        <v>548</v>
      </c>
      <c r="D111" s="10" t="s">
        <v>753</v>
      </c>
    </row>
    <row r="112" spans="1:4" x14ac:dyDescent="0.3">
      <c r="A112" s="10">
        <v>111</v>
      </c>
      <c r="B112" s="10" t="s">
        <v>747</v>
      </c>
      <c r="C112" s="10" t="s">
        <v>549</v>
      </c>
      <c r="D112" s="10" t="s">
        <v>754</v>
      </c>
    </row>
    <row r="113" spans="1:4" x14ac:dyDescent="0.3">
      <c r="A113" s="10">
        <v>112</v>
      </c>
      <c r="B113" s="10" t="s">
        <v>747</v>
      </c>
      <c r="C113" s="10" t="s">
        <v>550</v>
      </c>
      <c r="D113" s="10" t="s">
        <v>755</v>
      </c>
    </row>
    <row r="114" spans="1:4" x14ac:dyDescent="0.3">
      <c r="A114" s="10">
        <v>113</v>
      </c>
      <c r="B114" s="10" t="s">
        <v>747</v>
      </c>
      <c r="C114" s="10" t="s">
        <v>551</v>
      </c>
      <c r="D114" s="10" t="s">
        <v>756</v>
      </c>
    </row>
    <row r="115" spans="1:4" x14ac:dyDescent="0.3">
      <c r="A115" s="10">
        <v>114</v>
      </c>
      <c r="B115" s="10" t="s">
        <v>747</v>
      </c>
      <c r="C115" s="10" t="s">
        <v>552</v>
      </c>
      <c r="D115" s="10" t="s">
        <v>757</v>
      </c>
    </row>
    <row r="116" spans="1:4" x14ac:dyDescent="0.3">
      <c r="A116" s="10">
        <v>115</v>
      </c>
      <c r="B116" s="10" t="s">
        <v>747</v>
      </c>
      <c r="C116" s="10" t="s">
        <v>553</v>
      </c>
      <c r="D116" s="10" t="s">
        <v>758</v>
      </c>
    </row>
    <row r="117" spans="1:4" x14ac:dyDescent="0.3">
      <c r="A117" s="10">
        <v>116</v>
      </c>
      <c r="B117" s="10" t="s">
        <v>747</v>
      </c>
      <c r="C117" s="10" t="s">
        <v>554</v>
      </c>
      <c r="D117" s="10" t="s">
        <v>759</v>
      </c>
    </row>
    <row r="118" spans="1:4" x14ac:dyDescent="0.3">
      <c r="A118" s="10">
        <v>117</v>
      </c>
      <c r="B118" s="10" t="s">
        <v>747</v>
      </c>
      <c r="C118" s="10" t="s">
        <v>555</v>
      </c>
      <c r="D118" s="10" t="s">
        <v>760</v>
      </c>
    </row>
    <row r="119" spans="1:4" x14ac:dyDescent="0.3">
      <c r="A119" s="10">
        <v>118</v>
      </c>
      <c r="B119" s="10" t="s">
        <v>747</v>
      </c>
      <c r="C119" s="10" t="s">
        <v>556</v>
      </c>
      <c r="D119" s="10" t="s">
        <v>761</v>
      </c>
    </row>
    <row r="120" spans="1:4" x14ac:dyDescent="0.3">
      <c r="A120" s="10">
        <v>119</v>
      </c>
      <c r="B120" s="10" t="s">
        <v>747</v>
      </c>
      <c r="C120" s="10" t="s">
        <v>557</v>
      </c>
      <c r="D120" s="10" t="s">
        <v>762</v>
      </c>
    </row>
    <row r="121" spans="1:4" x14ac:dyDescent="0.3">
      <c r="A121" s="10">
        <v>120</v>
      </c>
      <c r="B121" s="10" t="s">
        <v>747</v>
      </c>
      <c r="C121" s="10" t="s">
        <v>558</v>
      </c>
      <c r="D121" s="10" t="s">
        <v>763</v>
      </c>
    </row>
    <row r="122" spans="1:4" x14ac:dyDescent="0.3">
      <c r="A122" s="10">
        <v>121</v>
      </c>
      <c r="B122" s="10" t="s">
        <v>747</v>
      </c>
      <c r="C122" s="10" t="s">
        <v>559</v>
      </c>
      <c r="D122" s="10" t="s">
        <v>764</v>
      </c>
    </row>
    <row r="123" spans="1:4" x14ac:dyDescent="0.3">
      <c r="A123" s="10">
        <v>122</v>
      </c>
      <c r="B123" s="10" t="s">
        <v>747</v>
      </c>
      <c r="C123" s="10" t="s">
        <v>560</v>
      </c>
      <c r="D123" s="10" t="s">
        <v>765</v>
      </c>
    </row>
    <row r="124" spans="1:4" x14ac:dyDescent="0.3">
      <c r="A124" s="10">
        <v>123</v>
      </c>
      <c r="B124" s="10" t="s">
        <v>747</v>
      </c>
      <c r="C124" s="10" t="s">
        <v>561</v>
      </c>
      <c r="D124" s="10" t="s">
        <v>766</v>
      </c>
    </row>
    <row r="125" spans="1:4" x14ac:dyDescent="0.3">
      <c r="A125" s="10">
        <v>124</v>
      </c>
      <c r="B125" s="10" t="s">
        <v>747</v>
      </c>
      <c r="C125" s="10" t="s">
        <v>562</v>
      </c>
      <c r="D125" s="10" t="s">
        <v>767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425</v>
      </c>
      <c r="C2" t="s">
        <v>426</v>
      </c>
      <c r="D2" t="s">
        <v>303</v>
      </c>
    </row>
    <row r="3" spans="1:4" x14ac:dyDescent="0.3">
      <c r="A3">
        <v>2</v>
      </c>
      <c r="B3" t="s">
        <v>427</v>
      </c>
      <c r="C3" t="s">
        <v>428</v>
      </c>
      <c r="D3" t="s">
        <v>303</v>
      </c>
    </row>
    <row r="4" spans="1:4" x14ac:dyDescent="0.3">
      <c r="A4">
        <v>3</v>
      </c>
      <c r="B4" t="s">
        <v>429</v>
      </c>
      <c r="C4" t="s">
        <v>430</v>
      </c>
      <c r="D4" t="s">
        <v>303</v>
      </c>
    </row>
    <row r="5" spans="1:4" x14ac:dyDescent="0.3">
      <c r="A5">
        <v>4</v>
      </c>
      <c r="B5" t="s">
        <v>431</v>
      </c>
      <c r="C5" t="s">
        <v>432</v>
      </c>
      <c r="D5" t="s">
        <v>303</v>
      </c>
    </row>
    <row r="6" spans="1:4" x14ac:dyDescent="0.3">
      <c r="A6">
        <v>5</v>
      </c>
      <c r="B6" t="s">
        <v>433</v>
      </c>
      <c r="C6" t="s">
        <v>434</v>
      </c>
      <c r="D6" t="s">
        <v>303</v>
      </c>
    </row>
    <row r="7" spans="1:4" x14ac:dyDescent="0.3">
      <c r="A7">
        <v>6</v>
      </c>
      <c r="B7" t="s">
        <v>435</v>
      </c>
      <c r="C7" t="s">
        <v>436</v>
      </c>
      <c r="D7" t="s">
        <v>303</v>
      </c>
    </row>
    <row r="8" spans="1:4" x14ac:dyDescent="0.3">
      <c r="A8">
        <v>7</v>
      </c>
      <c r="B8" t="s">
        <v>435</v>
      </c>
      <c r="C8" t="s">
        <v>437</v>
      </c>
      <c r="D8" t="s">
        <v>303</v>
      </c>
    </row>
    <row r="9" spans="1:4" x14ac:dyDescent="0.3">
      <c r="A9">
        <v>8</v>
      </c>
      <c r="B9" t="s">
        <v>435</v>
      </c>
      <c r="C9" t="s">
        <v>438</v>
      </c>
      <c r="D9" t="s">
        <v>303</v>
      </c>
    </row>
    <row r="10" spans="1:4" x14ac:dyDescent="0.3">
      <c r="A10">
        <v>9</v>
      </c>
      <c r="B10" t="s">
        <v>435</v>
      </c>
      <c r="C10" t="s">
        <v>439</v>
      </c>
      <c r="D10" t="s">
        <v>303</v>
      </c>
    </row>
    <row r="11" spans="1:4" x14ac:dyDescent="0.3">
      <c r="A11">
        <v>10</v>
      </c>
      <c r="B11" t="s">
        <v>435</v>
      </c>
      <c r="C11" t="s">
        <v>440</v>
      </c>
      <c r="D11" t="s">
        <v>303</v>
      </c>
    </row>
    <row r="12" spans="1:4" x14ac:dyDescent="0.3">
      <c r="A12">
        <v>11</v>
      </c>
      <c r="B12" t="s">
        <v>441</v>
      </c>
      <c r="C12" t="s">
        <v>442</v>
      </c>
      <c r="D12" t="s">
        <v>303</v>
      </c>
    </row>
    <row r="13" spans="1:4" x14ac:dyDescent="0.3">
      <c r="A13">
        <v>12</v>
      </c>
      <c r="B13" t="s">
        <v>443</v>
      </c>
      <c r="C13" t="s">
        <v>444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opLeftCell="C1" workbookViewId="0">
      <selection activeCell="E8" sqref="E8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505</v>
      </c>
      <c r="C2" t="str">
        <f>UPPER(SUBSTITUTE(B2,".","_"))</f>
        <v>GUIPANNEL_MQH</v>
      </c>
      <c r="D2" t="str">
        <f>"#ifndef __"&amp;C$2&amp;"__"</f>
        <v>#ifndef __GUIPANNEL_MQH__</v>
      </c>
      <c r="G2" t="str">
        <f>"C"&amp;C2</f>
        <v>CGUIPANNEL_MQH</v>
      </c>
      <c r="H2" t="str">
        <f>UPPER(G2)</f>
        <v>CGUIPANNEL_MQH</v>
      </c>
      <c r="I2" t="str">
        <f>"#ifndef "&amp;$H2</f>
        <v>#ifndef CGUIPANNEL_MQH</v>
      </c>
    </row>
    <row r="3" spans="2:9" x14ac:dyDescent="0.3">
      <c r="D3" t="str">
        <f>"#define __" &amp; C2&amp;"__"</f>
        <v>#define __GUIPANNEL_MQH__</v>
      </c>
      <c r="I3" t="str">
        <f>"#define " &amp; $H2</f>
        <v>#define CGUIPANNEL_MQH</v>
      </c>
    </row>
    <row r="4" spans="2:9" x14ac:dyDescent="0.3">
      <c r="D4" t="str">
        <f>"#endif // __" &amp;C2&amp;"__"</f>
        <v>#endif // __GUIPANNEL_MQH__</v>
      </c>
      <c r="I4" t="str">
        <f>"#endif // " &amp;$H2</f>
        <v>#endif // CGUIPANNEL_MQH</v>
      </c>
    </row>
    <row r="6" spans="2:9" x14ac:dyDescent="0.3">
      <c r="C6" t="s">
        <v>115</v>
      </c>
      <c r="D6" t="str">
        <f>"#ifndef "&amp;C6&amp;"_"&amp;C2</f>
        <v>#ifndef MOVE_TO_GUIPANNEL_MQH</v>
      </c>
    </row>
    <row r="7" spans="2:9" x14ac:dyDescent="0.3">
      <c r="D7" t="str">
        <f>"#define " &amp; C6&amp;"_"&amp;C2</f>
        <v>#define MOVE_TO_GUIPANNEL_MQH</v>
      </c>
      <c r="H7" t="s">
        <v>113</v>
      </c>
      <c r="I7" t="str">
        <f>"#ifndef "&amp;$H$2&amp;"_"&amp;$H7</f>
        <v>#ifndef CGUIPANNEL_MQH_DECLARATION</v>
      </c>
    </row>
    <row r="8" spans="2:9" x14ac:dyDescent="0.3">
      <c r="D8" t="str">
        <f>"#endif // " &amp;C6&amp;"_"&amp;C2</f>
        <v>#endif // MOVE_TO_GUIPANNEL_MQH</v>
      </c>
      <c r="I8" t="str">
        <f>"#define " &amp; $H$2&amp;"_"&amp;H7</f>
        <v>#define CGUIPANNEL_MQH_DECLARATION</v>
      </c>
    </row>
    <row r="9" spans="2:9" x14ac:dyDescent="0.3">
      <c r="I9" t="str">
        <f>"#endif // " &amp;$H2&amp;"_"&amp;H7</f>
        <v>#endif // CGUIPANNEL_MQH_DECLARATION</v>
      </c>
    </row>
    <row r="10" spans="2:9" x14ac:dyDescent="0.3">
      <c r="B10" t="s">
        <v>504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CGUIPANNEL_MQH_IMPLEMENTATION</v>
      </c>
    </row>
    <row r="13" spans="2:9" x14ac:dyDescent="0.3">
      <c r="I13" t="str">
        <f>"#define " &amp; $H$2&amp;"_"&amp;H12</f>
        <v>#define CGUIPANNEL_MQH_IMPLEMENTATION</v>
      </c>
    </row>
    <row r="14" spans="2:9" x14ac:dyDescent="0.3">
      <c r="I14" t="str">
        <f>"#endif // " &amp;H2&amp;"_"&amp;H12</f>
        <v>#endif // CGUIPANNEL_MQH_IMPLEMENTATION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502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503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445</v>
      </c>
      <c r="E2" t="s">
        <v>446</v>
      </c>
      <c r="F2" t="s">
        <v>449</v>
      </c>
      <c r="G2" t="s">
        <v>450</v>
      </c>
      <c r="H2" t="s">
        <v>451</v>
      </c>
    </row>
    <row r="3" spans="4:8" x14ac:dyDescent="0.3">
      <c r="D3" t="s">
        <v>447</v>
      </c>
      <c r="E3" t="s">
        <v>448</v>
      </c>
      <c r="F3">
        <v>3500</v>
      </c>
      <c r="G3">
        <v>3600</v>
      </c>
      <c r="H3">
        <v>-10</v>
      </c>
    </row>
    <row r="4" spans="4:8" x14ac:dyDescent="0.3">
      <c r="D4" t="s">
        <v>452</v>
      </c>
      <c r="E4" t="s">
        <v>453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2026-04-26T07:45:13Z</dcterms:modified>
</cp:coreProperties>
</file>