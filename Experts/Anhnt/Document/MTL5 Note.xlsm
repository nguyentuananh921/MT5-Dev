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58F3DAAC-8001-43F2-B9EC-7728AF38A142}" xr6:coauthVersionLast="47" xr6:coauthVersionMax="47" xr10:uidLastSave="{00000000-0000-0000-0000-000000000000}"/>
  <bookViews>
    <workbookView xWindow="-108" yWindow="-108" windowWidth="23256" windowHeight="12456" tabRatio="782" activeTab="3" xr2:uid="{00000000-000D-0000-FFFF-FFFF00000000}"/>
  </bookViews>
  <sheets>
    <sheet name="DashBoard" sheetId="9" r:id="rId1"/>
    <sheet name="Folders" sheetId="13" r:id="rId2"/>
    <sheet name="Files" sheetId="10" r:id="rId3"/>
    <sheet name="RelativeInclude" sheetId="15" r:id="rId4"/>
    <sheet name="Delete" sheetId="16" r:id="rId5"/>
    <sheet name="Conjunction" sheetId="12" r:id="rId6"/>
    <sheet name="Class" sheetId="11" r:id="rId7"/>
    <sheet name="Note" sheetId="1" r:id="rId8"/>
    <sheet name="Refactor" sheetId="8" r:id="rId9"/>
    <sheet name="IncludeGuard" sheetId="14" r:id="rId10"/>
    <sheet name="Sheet1" sheetId="17" r:id="rId11"/>
    <sheet name="Enum and Define" sheetId="6" r:id="rId12"/>
    <sheet name="Unique" sheetId="4" r:id="rId13"/>
  </sheets>
  <externalReferences>
    <externalReference r:id="rId14"/>
  </externalReferences>
  <definedNames>
    <definedName name="_xlnm._FilterDatabase" localSheetId="6" hidden="1">Class!$A$1:$G$1</definedName>
    <definedName name="_xlnm._FilterDatabase" localSheetId="2" hidden="1">Files!$A$1:$D$57</definedName>
    <definedName name="_xlnm._FilterDatabase" localSheetId="7" hidden="1">Note!$B$1:$F$1</definedName>
    <definedName name="_xlnm._FilterDatabase" localSheetId="3" hidden="1">RelativeInclude!$A$1:$D$1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4" l="1"/>
  <c r="E26" i="14"/>
  <c r="E25" i="14"/>
  <c r="E23" i="14"/>
  <c r="E22" i="14"/>
  <c r="E21" i="14"/>
  <c r="D25" i="14"/>
  <c r="C25" i="14"/>
  <c r="D26" i="14" s="1"/>
  <c r="C21" i="14"/>
  <c r="D22" i="14" s="1"/>
  <c r="C16" i="14"/>
  <c r="D16" i="14" s="1"/>
  <c r="D27" i="14" l="1"/>
  <c r="D21" i="14"/>
  <c r="D23" i="14"/>
  <c r="D17" i="14"/>
  <c r="D18" i="14"/>
  <c r="C10" i="14"/>
  <c r="D11" i="14" s="1"/>
  <c r="D12" i="14" l="1"/>
  <c r="D10" i="14"/>
  <c r="C2" i="14"/>
  <c r="G2" i="14" s="1"/>
  <c r="H2" i="14" s="1"/>
  <c r="I8" i="14" s="1"/>
  <c r="E3" i="12"/>
  <c r="E4" i="12"/>
  <c r="E5" i="12"/>
  <c r="E6" i="12"/>
  <c r="E7" i="12"/>
  <c r="E8" i="12"/>
  <c r="E9" i="12"/>
  <c r="E10" i="12"/>
  <c r="E11" i="12"/>
  <c r="E12" i="12"/>
  <c r="D4" i="14" l="1"/>
  <c r="D3" i="14"/>
  <c r="D2" i="14"/>
  <c r="D6" i="14"/>
  <c r="D7" i="14"/>
  <c r="D8" i="14"/>
  <c r="I14" i="14"/>
  <c r="I2" i="14"/>
  <c r="I3" i="14"/>
  <c r="I4" i="14"/>
  <c r="I7" i="14"/>
  <c r="I9" i="14"/>
  <c r="I12" i="14"/>
  <c r="I1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<sst xmlns="http://schemas.openxmlformats.org/spreadsheetml/2006/main" count="1940" uniqueCount="466">
  <si>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</si>
  <si>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</si>
  <si>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</si>
  <si>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</si>
  <si>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</si>
  <si>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</si>
  <si>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</si>
  <si>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</si>
  <si>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</si>
  <si>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</si>
  <si>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</si>
  <si>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</si>
  <si>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</si>
  <si>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</si>
  <si>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</si>
  <si>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</si>
  <si>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</si>
  <si>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</si>
  <si>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</si>
  <si>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</si>
  <si>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</si>
  <si>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</si>
  <si>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</si>
  <si>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</si>
  <si>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</si>
  <si>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</si>
  <si>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</si>
  <si>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</si>
  <si>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</si>
  <si>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</si>
  <si>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</si>
  <si>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</si>
  <si>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</si>
  <si>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</si>
  <si>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</si>
  <si>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</si>
  <si>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</si>
  <si>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</si>
  <si>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</si>
  <si>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</si>
  <si>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</si>
  <si>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</si>
  <si>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</si>
  <si>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</si>
  <si>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</si>
  <si>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</si>
  <si>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</si>
  <si>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</si>
  <si>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</si>
  <si>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</si>
  <si>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</si>
  <si>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</si>
  <si>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</si>
  <si>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</si>
  <si>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</si>
  <si>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</si>
  <si>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</si>
  <si>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</si>
  <si>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</si>
  <si>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</si>
  <si>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</si>
  <si>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</si>
  <si>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</si>
  <si>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</si>
  <si>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</si>
  <si>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</si>
  <si>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</si>
  <si>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</si>
  <si>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</si>
  <si>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</si>
  <si>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</si>
  <si>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</si>
  <si>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</si>
  <si>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</si>
  <si>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</si>
  <si>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</si>
  <si>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</si>
  <si>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</si>
  <si>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</si>
  <si>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</si>
  <si>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</si>
  <si>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</si>
  <si>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</si>
  <si>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</si>
  <si>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</si>
  <si>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</si>
  <si>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</si>
  <si>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</si>
  <si>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</si>
  <si>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</si>
  <si>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</si>
  <si>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</si>
  <si>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</si>
  <si>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</si>
  <si>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</si>
  <si>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</si>
  <si>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</si>
  <si>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</si>
  <si>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</si>
  <si>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</si>
  <si>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</si>
  <si>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</si>
  <si>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</si>
  <si>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</si>
  <si>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</si>
  <si>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</si>
  <si>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</si>
  <si>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</si>
  <si>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Base folders</t>
  </si>
  <si>
    <t>Include</t>
  </si>
  <si>
    <t>Exclude</t>
  </si>
  <si>
    <t>*.mq5;*.mqh</t>
  </si>
  <si>
    <t>Class Name</t>
  </si>
  <si>
    <t>DECLARATION</t>
  </si>
  <si>
    <t>IMPLEMENTATION</t>
  </si>
  <si>
    <t>MOVE_TO</t>
  </si>
  <si>
    <t>Tables_EN.mqh</t>
  </si>
  <si>
    <t>Base_EN.mqh</t>
  </si>
  <si>
    <t>Controls_EN.mqh</t>
  </si>
  <si>
    <t>header.mqh</t>
  </si>
  <si>
    <t>TableDefines.mqh</t>
  </si>
  <si>
    <t>TableEnums.mqh</t>
  </si>
  <si>
    <t>Include Relative</t>
  </si>
  <si>
    <t>File Name</t>
  </si>
  <si>
    <t>Include Fix</t>
  </si>
  <si>
    <t>Don't Insert Row, May be It Cause Delete file</t>
  </si>
  <si>
    <t>ListObj.mqh</t>
  </si>
  <si>
    <t>TableCell.mqh</t>
  </si>
  <si>
    <t>TableRow.mqh</t>
  </si>
  <si>
    <t>#include "..\Collections\ListObj.mqh"</t>
  </si>
  <si>
    <t>#include "..\Defines\TableDefines.mqh"</t>
  </si>
  <si>
    <t>#include "..\Defines\TableEnums.mqh"</t>
  </si>
  <si>
    <t>#include "..\Tables\TableCell.mqh"</t>
  </si>
  <si>
    <t>#include "..\Tables\TableRow.mqh"</t>
  </si>
  <si>
    <t>#include "..\Temp\Base_EN.mqh"</t>
  </si>
  <si>
    <t>#include "..\Temp\Controls_EN.mqh"</t>
  </si>
  <si>
    <t>#include "..\Temp\header.mqh"</t>
  </si>
  <si>
    <t>#include "..\Temp\Tables_EN.mqh"</t>
  </si>
  <si>
    <t>Container.mqh</t>
  </si>
  <si>
    <t>DELib.mqh</t>
  </si>
  <si>
    <t>AutoRepeat.mqh</t>
  </si>
  <si>
    <t>BaseObj.mqh</t>
  </si>
  <si>
    <t>Bound.mqh</t>
  </si>
  <si>
    <t>BoundedObj.mqh</t>
  </si>
  <si>
    <t>CanvasBase.mqh</t>
  </si>
  <si>
    <t>Color.mqh</t>
  </si>
  <si>
    <t>ColorElement.mqh</t>
  </si>
  <si>
    <t>CommonManager.mqh</t>
  </si>
  <si>
    <t>Counter.mqh</t>
  </si>
  <si>
    <t>ImagePainter.mqh</t>
  </si>
  <si>
    <t>ListElm.mqh</t>
  </si>
  <si>
    <t>Button.mqh</t>
  </si>
  <si>
    <t>ButtonArrowDown.mqh</t>
  </si>
  <si>
    <t>ButtonArrowLeft.mqh</t>
  </si>
  <si>
    <t>ButtonArrowRight.mqh</t>
  </si>
  <si>
    <t>ButtonArrowUp.mqh</t>
  </si>
  <si>
    <t>ButtonTriggered.mqh</t>
  </si>
  <si>
    <t>CaptionView.mqh</t>
  </si>
  <si>
    <t>CheckBox.mqh</t>
  </si>
  <si>
    <t>ColumnCaptionView.mqh</t>
  </si>
  <si>
    <t>ElementBase.mqh</t>
  </si>
  <si>
    <t>GroupBox.mqh</t>
  </si>
  <si>
    <t>Label.mqh</t>
  </si>
  <si>
    <t>Panel.mqh</t>
  </si>
  <si>
    <t>RadioButton.mqh</t>
  </si>
  <si>
    <t>RowCaptionView.mqh</t>
  </si>
  <si>
    <t>ScrollBarH.mqh</t>
  </si>
  <si>
    <t>ScrollBarThumbH.mqh</t>
  </si>
  <si>
    <t>ScrollBarThumbV.mqh</t>
  </si>
  <si>
    <t>ScrollBarV.mqh</t>
  </si>
  <si>
    <t>TableCellView.mqh</t>
  </si>
  <si>
    <t>TableControl.mqh</t>
  </si>
  <si>
    <t>TableHeaderView.mqh</t>
  </si>
  <si>
    <t>TableRowsHeaderView.mqh</t>
  </si>
  <si>
    <t>TableRowView.mqh</t>
  </si>
  <si>
    <t>TableView.mqh</t>
  </si>
  <si>
    <t>VisualHint.mqh</t>
  </si>
  <si>
    <t>BaseDefines.mqh</t>
  </si>
  <si>
    <t>BaseEnums.mqh</t>
  </si>
  <si>
    <t>ControlsDefines.mqh</t>
  </si>
  <si>
    <t>ControlsEnums.mqh</t>
  </si>
  <si>
    <t>DataListCreator.mqh</t>
  </si>
  <si>
    <t>FunctionLib.mqh</t>
  </si>
  <si>
    <t>ColumnCaption.mqh</t>
  </si>
  <si>
    <t>MqlParamObj.mqh</t>
  </si>
  <si>
    <t>Table.mqh</t>
  </si>
  <si>
    <t>TableByParam.mqh</t>
  </si>
  <si>
    <t>TableHeader.mqh</t>
  </si>
  <si>
    <t>TableModel.mqh</t>
  </si>
  <si>
    <t>ModifyElementBase.mqh</t>
  </si>
  <si>
    <t>Note TypeDescription.mqh</t>
  </si>
  <si>
    <t>CListObj</t>
  </si>
  <si>
    <t>CList</t>
  </si>
  <si>
    <t>CTableCell</t>
  </si>
  <si>
    <t>CObject</t>
  </si>
  <si>
    <t>CTableRow</t>
  </si>
  <si>
    <t>CTableModel</t>
  </si>
  <si>
    <t>CBaseObj</t>
  </si>
  <si>
    <t>CColor</t>
  </si>
  <si>
    <t>CColorElement</t>
  </si>
  <si>
    <t>CBound</t>
  </si>
  <si>
    <t>CCanvasBase</t>
  </si>
  <si>
    <t>CImagePainter</t>
  </si>
  <si>
    <t>CLabel</t>
  </si>
  <si>
    <t>CButton</t>
  </si>
  <si>
    <t>CButtonTriggered</t>
  </si>
  <si>
    <t>CButtonArrowUp</t>
  </si>
  <si>
    <t>CButtonArrowDown</t>
  </si>
  <si>
    <t>CButtonArrowLeft</t>
  </si>
  <si>
    <t>CButtonArrowRight</t>
  </si>
  <si>
    <t>CCheckBox</t>
  </si>
  <si>
    <t>CRadioButton</t>
  </si>
  <si>
    <t>CCommonManager</t>
  </si>
  <si>
    <t>CCounter</t>
  </si>
  <si>
    <t>CAutoRepeat</t>
  </si>
  <si>
    <t>CElementBase</t>
  </si>
  <si>
    <t>CPanel</t>
  </si>
  <si>
    <t>CGroupBox</t>
  </si>
  <si>
    <t>CScrollBarThumbH</t>
  </si>
  <si>
    <t>CScrollBarThumbV</t>
  </si>
  <si>
    <t>CScrollBarH</t>
  </si>
  <si>
    <t>CScrollBarV</t>
  </si>
  <si>
    <t>CContainer</t>
  </si>
  <si>
    <t>CVisualHint</t>
  </si>
  <si>
    <t>CMqlParamObj</t>
  </si>
  <si>
    <t>DataListCreator</t>
  </si>
  <si>
    <t>CColumnCaption</t>
  </si>
  <si>
    <t>CTableHeader</t>
  </si>
  <si>
    <t>CTable</t>
  </si>
  <si>
    <t>CTableByParam</t>
  </si>
  <si>
    <t>CBoundedObj</t>
  </si>
  <si>
    <t>CListElm</t>
  </si>
  <si>
    <t>CTableCellView</t>
  </si>
  <si>
    <t>CTableRowView</t>
  </si>
  <si>
    <t>CColumnCaptionView</t>
  </si>
  <si>
    <t>CTableHeaderView</t>
  </si>
  <si>
    <t>CTableView</t>
  </si>
  <si>
    <t>CTableControl</t>
  </si>
  <si>
    <t>CCaptionView</t>
  </si>
  <si>
    <t>CRowCaptionView</t>
  </si>
  <si>
    <t>CTableRowsHeaderView</t>
  </si>
  <si>
    <t>#include &lt;Vendors\Anhnt\Library\3. MVC Table\8. 20596 Refactor\Base\AutoRepeat.mqh&gt;</t>
  </si>
  <si>
    <t>#include &lt;Vendors\Anhnt\Library\3. MVC Table\8. 20596 Refactor\Base\BaseObj.mqh&gt;</t>
  </si>
  <si>
    <t>#include &lt;Vendors\Anhnt\Library\3. MVC Table\8. 20596 Refactor\Base\Bound.mqh&gt;</t>
  </si>
  <si>
    <t>#include &lt;Vendors\Anhnt\Library\3. MVC Table\8. 20596 Refactor\Base\BoundedObj.mqh&gt;</t>
  </si>
  <si>
    <t>#include &lt;Vendors\Anhnt\Library\3. MVC Table\8. 20596 Refactor\Base\CanvasBase.mqh&gt;</t>
  </si>
  <si>
    <t>#include &lt;Vendors\Anhnt\Library\3. MVC Table\8. 20596 Refactor\Base\Color.mqh&gt;</t>
  </si>
  <si>
    <t>#include &lt;Vendors\Anhnt\Library\3. MVC Table\8. 20596 Refactor\Base\ColorElement.mqh&gt;</t>
  </si>
  <si>
    <t>#include &lt;Vendors\Anhnt\Library\3. MVC Table\8. 20596 Refactor\Base\CommonManager.mqh&gt;</t>
  </si>
  <si>
    <t>#include &lt;Vendors\Anhnt\Library\3. MVC Table\8. 20596 Refactor\Base\Counter.mqh&gt;</t>
  </si>
  <si>
    <t>#include &lt;Vendors\Anhnt\Library\3. MVC Table\8. 20596 Refactor\Base\ImagePainter.mqh&gt;</t>
  </si>
  <si>
    <t>#include &lt;Vendors\Anhnt\Library\3. MVC Table\8. 20596 Refactor\Collections\ListElm.mqh&gt;</t>
  </si>
  <si>
    <t>#include &lt;Vendors\Anhnt\Library\3. MVC Table\8. 20596 Refactor\Collections\ListObj.mqh&gt;</t>
  </si>
  <si>
    <t>#include &lt;Vendors\Anhnt\Library\3. MVC Table\8. 20596 Refactor\Controls\Button.mqh&gt;</t>
  </si>
  <si>
    <t>#include &lt;Vendors\Anhnt\Library\3. MVC Table\8. 20596 Refactor\Controls\ButtonArrowDown.mqh&gt;</t>
  </si>
  <si>
    <t>#include &lt;Vendors\Anhnt\Library\3. MVC Table\8. 20596 Refactor\Controls\ButtonArrowLeft.mqh&gt;</t>
  </si>
  <si>
    <t>#include &lt;Vendors\Anhnt\Library\3. MVC Table\8. 20596 Refactor\Controls\ButtonArrowRight.mqh&gt;</t>
  </si>
  <si>
    <t>#include &lt;Vendors\Anhnt\Library\3. MVC Table\8. 20596 Refactor\Controls\ButtonArrowUp.mqh&gt;</t>
  </si>
  <si>
    <t>#include &lt;Vendors\Anhnt\Library\3. MVC Table\8. 20596 Refactor\Controls\ButtonTriggered.mqh&gt;</t>
  </si>
  <si>
    <t>#include &lt;Vendors\Anhnt\Library\3. MVC Table\8. 20596 Refactor\Controls\CaptionView.mqh&gt;</t>
  </si>
  <si>
    <t>#include &lt;Vendors\Anhnt\Library\3. MVC Table\8. 20596 Refactor\Controls\CheckBox.mqh&gt;</t>
  </si>
  <si>
    <t>#include &lt;Vendors\Anhnt\Library\3. MVC Table\8. 20596 Refactor\Controls\ColumnCaptionView.mqh&gt;</t>
  </si>
  <si>
    <t>#include &lt;Vendors\Anhnt\Library\3. MVC Table\8. 20596 Refactor\Controls\ElementBase.mqh&gt;</t>
  </si>
  <si>
    <t>#include &lt;Vendors\Anhnt\Library\3. MVC Table\8. 20596 Refactor\Controls\GroupBox.mqh&gt;</t>
  </si>
  <si>
    <t>#include &lt;Vendors\Anhnt\Library\3. MVC Table\8. 20596 Refactor\Controls\Label.mqh&gt;</t>
  </si>
  <si>
    <t>#include &lt;Vendors\Anhnt\Library\3. MVC Table\8. 20596 Refactor\Controls\Panel.mqh&gt;</t>
  </si>
  <si>
    <t>#include &lt;Vendors\Anhnt\Library\3. MVC Table\8. 20596 Refactor\Controls\RadioButton.mqh&gt;</t>
  </si>
  <si>
    <t>#include &lt;Vendors\Anhnt\Library\3. MVC Table\8. 20596 Refactor\Controls\RowCaptionView.mqh&gt;</t>
  </si>
  <si>
    <t>#include &lt;Vendors\Anhnt\Library\3. MVC Table\8. 20596 Refactor\Controls\ScrollBarH.mqh&gt;</t>
  </si>
  <si>
    <t>#include &lt;Vendors\Anhnt\Library\3. MVC Table\8. 20596 Refactor\Controls\ScrollBarThumbH.mqh&gt;</t>
  </si>
  <si>
    <t>#include &lt;Vendors\Anhnt\Library\3. MVC Table\8. 20596 Refactor\Controls\ScrollBarThumbV.mqh&gt;</t>
  </si>
  <si>
    <t>#include &lt;Vendors\Anhnt\Library\3. MVC Table\8. 20596 Refactor\Controls\ScrollBarV.mqh&gt;</t>
  </si>
  <si>
    <t>#include &lt;Vendors\Anhnt\Library\3. MVC Table\8. 20596 Refactor\Controls\TableCellView.mqh&gt;</t>
  </si>
  <si>
    <t>#include &lt;Vendors\Anhnt\Library\3. MVC Table\8. 20596 Refactor\Controls\TableControl.mqh&gt;</t>
  </si>
  <si>
    <t>#include &lt;Vendors\Anhnt\Library\3. MVC Table\8. 20596 Refactor\Controls\TableHeaderView.mqh&gt;</t>
  </si>
  <si>
    <t>#include &lt;Vendors\Anhnt\Library\3. MVC Table\8. 20596 Refactor\Controls\TableRowsHeaderView.mqh&gt;</t>
  </si>
  <si>
    <t>#include &lt;Vendors\Anhnt\Library\3. MVC Table\8. 20596 Refactor\Controls\TableRowView.mqh&gt;</t>
  </si>
  <si>
    <t>#include &lt;Vendors\Anhnt\Library\3. MVC Table\8. 20596 Refactor\Controls\TableView.mqh&gt;</t>
  </si>
  <si>
    <t>#include &lt;Vendors\Anhnt\Library\3. MVC Table\8. 20596 Refactor\Controls\VisualHint.mqh&gt;</t>
  </si>
  <si>
    <t>#include &lt;Vendors\Anhnt\Library\3. MVC Table\8. 20596 Refactor\Defines\BaseDefines.mqh&gt;</t>
  </si>
  <si>
    <t>#include &lt;Vendors\Anhnt\Library\3. MVC Table\8. 20596 Refactor\Defines\BaseEnums.mqh&gt;</t>
  </si>
  <si>
    <t>#include &lt;Vendors\Anhnt\Library\3. MVC Table\8. 20596 Refactor\Defines\ControlsDefines.mqh&gt;</t>
  </si>
  <si>
    <t>#include &lt;Vendors\Anhnt\Library\3. MVC Table\8. 20596 Refactor\Defines\ControlsEnums.mqh&gt;</t>
  </si>
  <si>
    <t>#include &lt;Vendors\Anhnt\Library\3. MVC Table\8. 20596 Refactor\Defines\TableDefines.mqh&gt;</t>
  </si>
  <si>
    <t>#include &lt;Vendors\Anhnt\Library\3. MVC Table\8. 20596 Refactor\Defines\TableEnums.mqh&gt;</t>
  </si>
  <si>
    <t>#include &lt;Vendors\Anhnt\Library\3. MVC Table\8. 20596 Refactor\Services\DataListCreator.mqh&gt;</t>
  </si>
  <si>
    <t>#include &lt;Vendors\Anhnt\Library\3. MVC Table\8. 20596 Refactor\Services\DELib.mqh&gt;</t>
  </si>
  <si>
    <t>#include &lt;Vendors\Anhnt\Library\3. MVC Table\8. 20596 Refactor\Services\FunctionLib.mqh&gt;</t>
  </si>
  <si>
    <t>#include &lt;Vendors\Anhnt\Library\3. MVC Table\8. 20596 Refactor\Tables\ColumnCaption.mqh&gt;</t>
  </si>
  <si>
    <t>#include &lt;Vendors\Anhnt\Library\3. MVC Table\8. 20596 Refactor\Tables\MqlParamObj.mqh&gt;</t>
  </si>
  <si>
    <t>#include &lt;Vendors\Anhnt\Library\3. MVC Table\8. 20596 Refactor\Tables\Table.mqh&gt;</t>
  </si>
  <si>
    <t>#include &lt;Vendors\Anhnt\Library\3. MVC Table\8. 20596 Refactor\Tables\TableByParam.mqh&gt;</t>
  </si>
  <si>
    <t>#include &lt;Vendors\Anhnt\Library\3. MVC Table\8. 20596 Refactor\Tables\TableCell.mqh&gt;</t>
  </si>
  <si>
    <t>#include &lt;Vendors\Anhnt\Library\3. MVC Table\8. 20596 Refactor\Tables\TableHeader.mqh&gt;</t>
  </si>
  <si>
    <t>#include &lt;Vendors\Anhnt\Library\3. MVC Table\8. 20596 Refactor\Tables\TableModel.mqh&gt;</t>
  </si>
  <si>
    <t>#include &lt;Vendors\Anhnt\Library\3. MVC Table\8. 20596 Refactor\Tables\TableRow.mqh&gt;</t>
  </si>
  <si>
    <t>#include &lt;Vendors\Anhnt\Library\3. MVC Table\8. 20596 Refactor\Temp\Base_EN.mqh&gt;</t>
  </si>
  <si>
    <t>#include &lt;Vendors\Anhnt\Library\3. MVC Table\8. 20596 Refactor\Temp\Controls_EN.mqh&gt;</t>
  </si>
  <si>
    <t>#include &lt;Vendors\Anhnt\Library\3. MVC Table\8. 20596 Refactor\Temp\header.mqh&gt;</t>
  </si>
  <si>
    <t>#include &lt;Vendors\Anhnt\Library\3. MVC Table\8. 20596 Refactor\Temp\ModifyElementBase.mqh&gt;</t>
  </si>
  <si>
    <t>#include &lt;Vendors\Anhnt\Library\3. MVC Table\8. 20596 Refactor\Temp\Note TypeDescription.mqh&gt;</t>
  </si>
  <si>
    <t>#include &lt;Vendors\Anhnt\Library\3. MVC Table\8. 20596 Refactor\Temp\Tables_EN.mqh&gt;</t>
  </si>
  <si>
    <t>*.ex5;*.bak</t>
  </si>
  <si>
    <t>Deleted</t>
  </si>
  <si>
    <t>#include "..\Collections\ListElm.mqh"</t>
  </si>
  <si>
    <t>#include "..\Defines\BaseDefines.mqh"</t>
  </si>
  <si>
    <t>#include "..\Defines\BaseEnums.mqh"</t>
  </si>
  <si>
    <t>#include "..\Defines\ControlsDefines.mqh"</t>
  </si>
  <si>
    <t>#include "..\Defines\ControlsEnums.mqh"</t>
  </si>
  <si>
    <t>#include "..\Services\DataListCreator.mqh"</t>
  </si>
  <si>
    <t>#include "..\Services\DELib.mqh"</t>
  </si>
  <si>
    <t>#include "..\Services\FunctionLib.mqh"</t>
  </si>
  <si>
    <t>#include "..\Tables\ColumnCaption.mqh"</t>
  </si>
  <si>
    <t>#include "..\Tables\MqlParamObj.mqh"</t>
  </si>
  <si>
    <t>#include "..\Tables\Table.mqh"</t>
  </si>
  <si>
    <t>#include "..\Tables\TableByParam.mqh"</t>
  </si>
  <si>
    <t>#include "..\Tables\TableHeader.mqh"</t>
  </si>
  <si>
    <t>#include "..\Tables\TableModel.mqh"</t>
  </si>
  <si>
    <t>#include "..\Temp\ModifyElementBase.mqh"</t>
  </si>
  <si>
    <t>#include "..\Temp\Note TypeDescription.mqh"</t>
  </si>
  <si>
    <t>#include "..\Base\AutoRepeat.mqh"</t>
  </si>
  <si>
    <t>#include "..\Base\BaseObj.mqh"</t>
  </si>
  <si>
    <t>#include "..\Base\Bound.mqh"</t>
  </si>
  <si>
    <t>#include "..\Base\BoundedObj.mqh"</t>
  </si>
  <si>
    <t>#include "..\Base\CanvasBase.mqh"</t>
  </si>
  <si>
    <t>#include "..\Base\Color.mqh"</t>
  </si>
  <si>
    <t>#include "..\Base\ColorElement.mqh"</t>
  </si>
  <si>
    <t>#include "..\Base\CommonManager.mqh"</t>
  </si>
  <si>
    <t>#include "..\Base\Counter.mqh"</t>
  </si>
  <si>
    <t>#include "..\Base\ImagePainter.mqh"</t>
  </si>
  <si>
    <t>#include "Button.mqh"</t>
  </si>
  <si>
    <t>#include "ButtonArrowDown.mqh"</t>
  </si>
  <si>
    <t>#include "ButtonArrowLeft.mqh"</t>
  </si>
  <si>
    <t>#include "ButtonArrowRight.mqh"</t>
  </si>
  <si>
    <t>#include "ButtonArrowUp.mqh"</t>
  </si>
  <si>
    <t>#include "ButtonTriggered.mqh"</t>
  </si>
  <si>
    <t>#include "CaptionView.mqh"</t>
  </si>
  <si>
    <t>#include "CheckBox.mqh"</t>
  </si>
  <si>
    <t>#include "ColumnCaptionView.mqh"</t>
  </si>
  <si>
    <t>#include "ElementBase.mqh"</t>
  </si>
  <si>
    <t>#include "GroupBox.mqh"</t>
  </si>
  <si>
    <t>#include "Label.mqh"</t>
  </si>
  <si>
    <t>#include "Panel.mqh"</t>
  </si>
  <si>
    <t>#include "RadioButton.mqh"</t>
  </si>
  <si>
    <t>#include "RowCaptionView.mqh"</t>
  </si>
  <si>
    <t>#include "ScrollBarH.mqh"</t>
  </si>
  <si>
    <t>#include "ScrollBarThumbH.mqh"</t>
  </si>
  <si>
    <t>#include "ScrollBarThumbV.mqh"</t>
  </si>
  <si>
    <t>#include "ScrollBarV.mqh"</t>
  </si>
  <si>
    <t>#include "TableCellView.mqh"</t>
  </si>
  <si>
    <t>#include "TableControl.mqh"</t>
  </si>
  <si>
    <t>#include "TableHeaderView.mqh"</t>
  </si>
  <si>
    <t>#include "TableRowsHeaderView.mqh"</t>
  </si>
  <si>
    <t>#include "TableRowView.mqh"</t>
  </si>
  <si>
    <t>#include "TableView.mqh"</t>
  </si>
  <si>
    <t>#include "VisualHint.mqh"</t>
  </si>
  <si>
    <t>Candle.mqh</t>
  </si>
  <si>
    <t>CCandle</t>
  </si>
  <si>
    <t>#include "..\..\Candle.mqh"</t>
  </si>
  <si>
    <t>#include &lt;Vendors\Anhnt\Library\3. MVC Table\Candle.mqh&gt;</t>
  </si>
  <si>
    <t>1. 17653 Applying the MVC concept</t>
  </si>
  <si>
    <t>1. 17653 Applying the MVC concept Original En.mq5</t>
  </si>
  <si>
    <t>#include "..\..\1. 17653 Applying the MVC concept\1. 17653 Applying the MVC concept Original En.mq5"</t>
  </si>
  <si>
    <t>#include &lt;Vendors\Anhnt\Library\3. MVC Table\1. 17653 Applying the MVC concept\1. 17653 Applying the MVC concept Original En.mq5&gt;</t>
  </si>
  <si>
    <t>2. 17960 Base graphical element\Original English</t>
  </si>
  <si>
    <t>#include "..\..\2. 17960 Base graphical element\Original English\Base_EN.mqh"</t>
  </si>
  <si>
    <t>#include &lt;Vendors\Anhnt\Library\3. MVC Table\2. 17960 Base graphical element\Original English\Base_EN.mqh&gt;</t>
  </si>
  <si>
    <t>3. 18221 Lib</t>
  </si>
  <si>
    <t>#include "..\..\3. 18221 Lib\Base_EN.mqh"</t>
  </si>
  <si>
    <t>#include &lt;Vendors\Anhnt\Library\3. MVC Table\3. 18221 Lib\Base_EN.mqh&gt;</t>
  </si>
  <si>
    <t>#include "..\..\3. 18221 Lib\Controls_EN.mqh"</t>
  </si>
  <si>
    <t>#include &lt;Vendors\Anhnt\Library\3. MVC Table\3. 18221 Lib\Controls_EN.mqh&gt;</t>
  </si>
  <si>
    <t>4. 18658 Containers\Original English</t>
  </si>
  <si>
    <t>18658 iTestContainer_EN.mq5</t>
  </si>
  <si>
    <t>#include "..\..\4. 18658 Containers\Original English\18658 iTestContainer_EN.mq5"</t>
  </si>
  <si>
    <t>#include &lt;Vendors\Anhnt\Library\3. MVC Table\4. 18658 Containers\Original English\18658 iTestContainer_EN.mq5&gt;</t>
  </si>
  <si>
    <t>4. 18658 Containers\Original English\Controls</t>
  </si>
  <si>
    <t>#include "..\..\4. 18658 Containers\Original English\Controls\Base_EN.mqh"</t>
  </si>
  <si>
    <t>#include &lt;Vendors\Anhnt\Library\3. MVC Table\4. 18658 Containers\Original English\Controls\Base_EN.mqh&gt;</t>
  </si>
  <si>
    <t>#include "..\..\4. 18658 Containers\Original English\Controls\Controls_EN.mqh"</t>
  </si>
  <si>
    <t>#include &lt;Vendors\Anhnt\Library\3. MVC Table\4. 18658 Containers\Original English\Controls\Controls_EN.mqh&gt;</t>
  </si>
  <si>
    <t>5. 18941 Resizable elements</t>
  </si>
  <si>
    <t>18941 iTestResize_EN.mq5</t>
  </si>
  <si>
    <t>#include "..\..\5. 18941 Resizable elements\18941 iTestResize_EN.mq5"</t>
  </si>
  <si>
    <t>#include &lt;Vendors\Anhnt\Library\3. MVC Table\5. 18941 Resizable elements\18941 iTestResize_EN.mq5&gt;</t>
  </si>
  <si>
    <t>#include "..\..\5. 18941 Resizable elements\Base_EN.mqh"</t>
  </si>
  <si>
    <t>#include &lt;Vendors\Anhnt\Library\3. MVC Table\5. 18941 Resizable elements\Base_EN.mqh&gt;</t>
  </si>
  <si>
    <t>#include "..\..\5. 18941 Resizable elements\Controls_EN.mqh"</t>
  </si>
  <si>
    <t>#include &lt;Vendors\Anhnt\Library\3. MVC Table\5. 18941 Resizable elements\Controls_EN.mqh&gt;</t>
  </si>
  <si>
    <t>6. 19288 Integrating the Model Component into the View Component</t>
  </si>
  <si>
    <t>#include "..\..\6. 19288 Integrating the Model Component into the View Component\Base_EN.mqh"</t>
  </si>
  <si>
    <t>#include &lt;Vendors\Anhnt\Library\3. MVC Table\6. 19288 Integrating the Model Component into the View Component\Base_EN.mqh&gt;</t>
  </si>
  <si>
    <t>#include "..\..\6. 19288 Integrating the Model Component into the View Component\Controls_EN.mqh"</t>
  </si>
  <si>
    <t>#include &lt;Vendors\Anhnt\Library\3. MVC Table\6. 19288 Integrating the Model Component into the View Component\Controls_EN.mqh&gt;</t>
  </si>
  <si>
    <t>#include "..\..\6. 19288 Integrating the Model Component into the View Component\Tables_EN.mqh"</t>
  </si>
  <si>
    <t>#include &lt;Vendors\Anhnt\Library\3. MVC Table\6. 19288 Integrating the Model Component into the View Component\Tables_EN.mqh&gt;</t>
  </si>
  <si>
    <t>7. 19979 Customizable and sortable table columns</t>
  </si>
  <si>
    <t>#include "..\..\7. 19979 Customizable and sortable table columns\Base_EN.mqh"</t>
  </si>
  <si>
    <t>#include &lt;Vendors\Anhnt\Library\3. MVC Table\7. 19979 Customizable and sortable table columns\Base_EN.mqh&gt;</t>
  </si>
  <si>
    <t>#include "..\..\7. 19979 Customizable and sortable table columns\Controls_EN.mqh"</t>
  </si>
  <si>
    <t>#include &lt;Vendors\Anhnt\Library\3. MVC Table\7. 19979 Customizable and sortable table columns\Controls_EN.mqh&gt;</t>
  </si>
  <si>
    <t>#include "..\..\7. 19979 Customizable and sortable table columns\Tables_EN.mqh"</t>
  </si>
  <si>
    <t>#include &lt;Vendors\Anhnt\Library\3. MVC Table\7. 19979 Customizable and sortable table columns\Tables_EN.mqh&gt;</t>
  </si>
  <si>
    <t>8. 20596 Lib</t>
  </si>
  <si>
    <t>#include "..\..\8. 20596 Lib\Tables_EN.mqh"</t>
  </si>
  <si>
    <t>#include &lt;Vendors\Anhnt\Library\3. MVC Table\8. 20596 Lib\Tables_EN.mqh&gt;</t>
  </si>
  <si>
    <t>8. 20596 Lib\Controls</t>
  </si>
  <si>
    <t>#include "..\..\8. 20596 Lib\Controls\Base_EN.mqh"</t>
  </si>
  <si>
    <t>#include &lt;Vendors\Anhnt\Library\3. MVC Table\8. 20596 Lib\Controls\Base_EN.mqh&gt;</t>
  </si>
  <si>
    <t>#include "..\..\8. 20596 Lib\Controls\Controls_EN.mqh"</t>
  </si>
  <si>
    <t>#include &lt;Vendors\Anhnt\Library\3. MVC Table\8. 20596 Lib\Controls\Controls_EN.mqh&gt;</t>
  </si>
  <si>
    <t>8. 20596 Refactor\Base</t>
  </si>
  <si>
    <t>8. 20596 Refactor\Collections</t>
  </si>
  <si>
    <t>8. 20596 Refactor\Controls</t>
  </si>
  <si>
    <t>8. 20596 Refactor\Defines</t>
  </si>
  <si>
    <t>8. 20596 Refactor\Services</t>
  </si>
  <si>
    <t>8. 20596 Refactor\Tables</t>
  </si>
  <si>
    <t>8. 20596 Refactor\Temp</t>
  </si>
  <si>
    <t>2. 17960 Base graphical element</t>
  </si>
  <si>
    <t>4. 18658 Containers</t>
  </si>
  <si>
    <t>8. 20596 Refactor</t>
  </si>
  <si>
    <t>MOVE_FROM</t>
  </si>
  <si>
    <t>Artyom Trishkin\2. Timeseries in DoEasy library</t>
  </si>
  <si>
    <t>8787 TestDoEasyPart58.ex5</t>
  </si>
  <si>
    <t>Artyom Trishkin\3. Tables in the MVC\17960 Base graphical element\Original Russian</t>
  </si>
  <si>
    <t>17960 TestControls Ru.ex5</t>
  </si>
  <si>
    <t>Artyom Trishkin\3. Tables in the MVC\18221 Simple controls\Original Russian</t>
  </si>
  <si>
    <t>18221 iTestLabel.ex5</t>
  </si>
  <si>
    <t>Artyom Trishkin\3. Tables in the MVC\18658 Containers\Original Russian</t>
  </si>
  <si>
    <t>18658 iTestContainer.ex5</t>
  </si>
  <si>
    <t>Artyom Trishkin\3. Tables in the MVC\19288 Integrating the Model Component into the View Component\Original Russian</t>
  </si>
  <si>
    <t>19288 iTestTable Ru Original.ex5</t>
  </si>
  <si>
    <t>Artyom Trishkin\SQLite\7463 Native handling of SQL databases</t>
  </si>
  <si>
    <t>DatabaseExecute.ex5</t>
  </si>
  <si>
    <t>DatabaseRead.ex5</t>
  </si>
  <si>
    <t>DatabaseReadBind.ex5</t>
  </si>
  <si>
    <t>DatabaseTransactionBegin.ex5</t>
  </si>
  <si>
    <t>MACD Sample Database.ex5</t>
  </si>
  <si>
    <t>Artyom Trishkin\SQLite\7463 Native handling of SQL databases\SqLiteTest</t>
  </si>
  <si>
    <t>SQLiteTest.ex5</t>
  </si>
  <si>
    <t>Hlomohang John Borotho\Swing Extremes and Pullbacks</t>
  </si>
  <si>
    <t>3. 21888 Defining Structural Validity Beyond Simple HighsLows.ex5</t>
  </si>
  <si>
    <t>Symbol</t>
  </si>
  <si>
    <t>PositionType</t>
  </si>
  <si>
    <t>USD</t>
  </si>
  <si>
    <t>Sell</t>
  </si>
  <si>
    <t>SellPrice</t>
  </si>
  <si>
    <t>CurrentPrice</t>
  </si>
  <si>
    <t>Win/Lost</t>
  </si>
  <si>
    <t>Gold</t>
  </si>
  <si>
    <t>Buy</t>
  </si>
  <si>
    <t>Know</t>
  </si>
  <si>
    <t>Un_Know</t>
  </si>
  <si>
    <t>CMainProgram_OnInitEvent</t>
  </si>
  <si>
    <t>Select.mqh</t>
  </si>
  <si>
    <t>CommonInpData.mqh</t>
  </si>
  <si>
    <t>TradingInpData.mqh</t>
  </si>
  <si>
    <t>Include\Vendors\Anhnt\Library\4. Combination Lib\Services\InputData</t>
  </si>
  <si>
    <t>#include &lt;Vendors\Anhnt\Library\4. Combination Lib\Services\InputData\CommonInpData.mqh&gt;</t>
  </si>
  <si>
    <t>#include &lt;Vendors\Anhnt\Library\4. Combination Lib\Services\InputData\TradingInpData.mqh&gt;</t>
  </si>
  <si>
    <t>C:\Users\nguye\AppData\Roaming\MetaQuotes\Terminal\D0E8209F77C8CF37AD8BF550E51FF075\MQL5\Include\Vendors\Anhnt\Library\4. Combination Lib\Trading\Collections\SymbolsCollection.mqh</t>
  </si>
  <si>
    <t>C:\Users\nguye\AppData\Roaming\MetaQuotes\Terminal\D0E8209F77C8CF37AD8BF550E51FF075\MQL5\Include\Vendors\Anhnt\Library\4. Combination Lib\Services\Select</t>
  </si>
  <si>
    <t>CommonSelect.mqh</t>
  </si>
  <si>
    <t>#include "..\..\Services\Select\CommonSelect.mqh"</t>
  </si>
  <si>
    <t>TradingSelect.mqh</t>
  </si>
  <si>
    <t>#include "..\..\Services\Select\TradingSelect.mqh"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</si>
</sst>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39756</xdr:colOff>
      <xdr:row>2</xdr:row>
      <xdr:rowOff>33130</xdr:rowOff>
    </xdr:from>
    <xdr:to>
      <xdr:col>8</xdr:col>
      <xdr:colOff>96906</xdr:colOff>
      <xdr:row>2</xdr:row>
      <xdr:rowOff>315816</xdr:rowOff>
    </xdr:to>
    <xdr:sp macro="[0]!DashBoard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65913" y="404191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8</xdr:col>
      <xdr:colOff>496956</xdr:colOff>
      <xdr:row>0</xdr:row>
      <xdr:rowOff>126971</xdr:rowOff>
    </xdr:from>
    <xdr:to>
      <xdr:col>11</xdr:col>
      <xdr:colOff>554106</xdr:colOff>
      <xdr:row>2</xdr:row>
      <xdr:rowOff>35945</xdr:rowOff>
    </xdr:to>
    <xdr:sp macro="[0]!SheetFolderClearData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7851913" y="12697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259691</xdr:colOff>
      <xdr:row>0</xdr:row>
      <xdr:rowOff>112643</xdr:rowOff>
    </xdr:from>
    <xdr:to>
      <xdr:col>15</xdr:col>
      <xdr:colOff>316841</xdr:colOff>
      <xdr:row>2</xdr:row>
      <xdr:rowOff>66260</xdr:rowOff>
    </xdr:to>
    <xdr:sp macro="[0]!SheetFolder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10053048" y="112643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483704</xdr:colOff>
      <xdr:row>2</xdr:row>
      <xdr:rowOff>299477</xdr:rowOff>
    </xdr:from>
    <xdr:to>
      <xdr:col>11</xdr:col>
      <xdr:colOff>540854</xdr:colOff>
      <xdr:row>3</xdr:row>
      <xdr:rowOff>32746</xdr:rowOff>
    </xdr:to>
    <xdr:sp macro="[0]!SheetFileClear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7838661" y="670538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279569</xdr:colOff>
      <xdr:row>2</xdr:row>
      <xdr:rowOff>271670</xdr:rowOff>
    </xdr:from>
    <xdr:to>
      <xdr:col>15</xdr:col>
      <xdr:colOff>336719</xdr:colOff>
      <xdr:row>3</xdr:row>
      <xdr:rowOff>46383</xdr:rowOff>
    </xdr:to>
    <xdr:sp macro="[0]!SheetFile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10072926" y="642731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53011</xdr:colOff>
      <xdr:row>8</xdr:row>
      <xdr:rowOff>66262</xdr:rowOff>
    </xdr:from>
    <xdr:to>
      <xdr:col>8</xdr:col>
      <xdr:colOff>110161</xdr:colOff>
      <xdr:row>9</xdr:row>
      <xdr:rowOff>163416</xdr:rowOff>
    </xdr:to>
    <xdr:sp macro="[0]!PickFileToCell" textlink="">
      <xdr:nvSpPr>
        <xdr:cNvPr id="8" name="Rounded Rectangle 2">
          <a:extLst>
            <a:ext uri="{FF2B5EF4-FFF2-40B4-BE49-F238E27FC236}">
              <a16:creationId xmlns:a16="http://schemas.microsoft.com/office/drawing/2014/main" id="{0DA7441E-2813-6ECB-7EFB-5CCFE573049C}"/>
            </a:ext>
          </a:extLst>
        </xdr:cNvPr>
        <xdr:cNvSpPr/>
      </xdr:nvSpPr>
      <xdr:spPr>
        <a:xfrm>
          <a:off x="5579168" y="1914940"/>
          <a:ext cx="1885950" cy="28268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</a:t>
          </a:r>
        </a:p>
      </xdr:txBody>
    </xdr:sp>
    <xdr:clientData/>
  </xdr:twoCellAnchor>
  <xdr:twoCellAnchor editAs="absolute">
    <xdr:from>
      <xdr:col>8</xdr:col>
      <xdr:colOff>457200</xdr:colOff>
      <xdr:row>6</xdr:row>
      <xdr:rowOff>133598</xdr:rowOff>
    </xdr:from>
    <xdr:to>
      <xdr:col>11</xdr:col>
      <xdr:colOff>514350</xdr:colOff>
      <xdr:row>8</xdr:row>
      <xdr:rowOff>42572</xdr:rowOff>
    </xdr:to>
    <xdr:sp macro="[0]!SheetRelativeIncludeClearData" textlink="">
      <xdr:nvSpPr>
        <xdr:cNvPr id="9" name="Rounded Rectangle 3">
          <a:extLst>
            <a:ext uri="{FF2B5EF4-FFF2-40B4-BE49-F238E27FC236}">
              <a16:creationId xmlns:a16="http://schemas.microsoft.com/office/drawing/2014/main" id="{07335ACF-96EC-E25F-61EA-7C9F358512F3}"/>
            </a:ext>
          </a:extLst>
        </xdr:cNvPr>
        <xdr:cNvSpPr/>
      </xdr:nvSpPr>
      <xdr:spPr>
        <a:xfrm>
          <a:off x="7812157" y="1611215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RelativeInclude</a:t>
          </a:r>
        </a:p>
      </xdr:txBody>
    </xdr:sp>
    <xdr:clientData/>
  </xdr:twoCellAnchor>
  <xdr:twoCellAnchor editAs="absolute">
    <xdr:from>
      <xdr:col>12</xdr:col>
      <xdr:colOff>272943</xdr:colOff>
      <xdr:row>6</xdr:row>
      <xdr:rowOff>106018</xdr:rowOff>
    </xdr:from>
    <xdr:to>
      <xdr:col>15</xdr:col>
      <xdr:colOff>330093</xdr:colOff>
      <xdr:row>8</xdr:row>
      <xdr:rowOff>59635</xdr:rowOff>
    </xdr:to>
    <xdr:sp macro="[0]!SheetRelativeIncludeGenerateRelativeInclude" textlink="">
      <xdr:nvSpPr>
        <xdr:cNvPr id="10" name="Rounded Rectangle 2">
          <a:extLst>
            <a:ext uri="{FF2B5EF4-FFF2-40B4-BE49-F238E27FC236}">
              <a16:creationId xmlns:a16="http://schemas.microsoft.com/office/drawing/2014/main" id="{8D3EADFB-60C4-6B65-C090-B3C60600CD62}"/>
            </a:ext>
          </a:extLst>
        </xdr:cNvPr>
        <xdr:cNvSpPr/>
      </xdr:nvSpPr>
      <xdr:spPr>
        <a:xfrm>
          <a:off x="10066300" y="158363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RelativeInclude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271670</xdr:colOff>
      <xdr:row>4</xdr:row>
      <xdr:rowOff>20954</xdr:rowOff>
    </xdr:from>
    <xdr:to>
      <xdr:col>15</xdr:col>
      <xdr:colOff>328820</xdr:colOff>
      <xdr:row>5</xdr:row>
      <xdr:rowOff>115459</xdr:rowOff>
    </xdr:to>
    <xdr:sp macro="[0]!SheetDeleteDeleteFilesWithOrderedLog" textlink="">
      <xdr:nvSpPr>
        <xdr:cNvPr id="11" name="Rounded Rectangle 3">
          <a:extLst>
            <a:ext uri="{FF2B5EF4-FFF2-40B4-BE49-F238E27FC236}">
              <a16:creationId xmlns:a16="http://schemas.microsoft.com/office/drawing/2014/main" id="{B9D1B599-1144-96DC-65A6-C6604B556378}"/>
            </a:ext>
          </a:extLst>
        </xdr:cNvPr>
        <xdr:cNvSpPr/>
      </xdr:nvSpPr>
      <xdr:spPr>
        <a:xfrm>
          <a:off x="10065027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Exclude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470451</xdr:colOff>
      <xdr:row>9</xdr:row>
      <xdr:rowOff>206484</xdr:rowOff>
    </xdr:from>
    <xdr:to>
      <xdr:col>11</xdr:col>
      <xdr:colOff>527601</xdr:colOff>
      <xdr:row>9</xdr:row>
      <xdr:rowOff>486519</xdr:rowOff>
    </xdr:to>
    <xdr:sp macro="[0]!SheetClassClearData" textlink="">
      <xdr:nvSpPr>
        <xdr:cNvPr id="5" name="Rounded Rectangle 3">
          <a:extLst>
            <a:ext uri="{FF2B5EF4-FFF2-40B4-BE49-F238E27FC236}">
              <a16:creationId xmlns:a16="http://schemas.microsoft.com/office/drawing/2014/main" id="{CCF15758-2D7E-B0E1-9C44-92DD357F1B63}"/>
            </a:ext>
          </a:extLst>
        </xdr:cNvPr>
        <xdr:cNvSpPr/>
      </xdr:nvSpPr>
      <xdr:spPr>
        <a:xfrm>
          <a:off x="7825408" y="2240693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Class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299447</xdr:colOff>
      <xdr:row>9</xdr:row>
      <xdr:rowOff>192156</xdr:rowOff>
    </xdr:from>
    <xdr:to>
      <xdr:col>15</xdr:col>
      <xdr:colOff>356597</xdr:colOff>
      <xdr:row>9</xdr:row>
      <xdr:rowOff>516834</xdr:rowOff>
    </xdr:to>
    <xdr:sp macro="[0]!SheetClassScanClass" textlink="">
      <xdr:nvSpPr>
        <xdr:cNvPr id="12" name="Rounded Rectangle 2">
          <a:extLst>
            <a:ext uri="{FF2B5EF4-FFF2-40B4-BE49-F238E27FC236}">
              <a16:creationId xmlns:a16="http://schemas.microsoft.com/office/drawing/2014/main" id="{C9DB7945-FC31-17ED-B344-47905D1CE4FA}"/>
            </a:ext>
          </a:extLst>
        </xdr:cNvPr>
        <xdr:cNvSpPr/>
      </xdr:nvSpPr>
      <xdr:spPr>
        <a:xfrm>
          <a:off x="10092804" y="222636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Scan Classes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483705</xdr:colOff>
      <xdr:row>4</xdr:row>
      <xdr:rowOff>20954</xdr:rowOff>
    </xdr:from>
    <xdr:to>
      <xdr:col>11</xdr:col>
      <xdr:colOff>540855</xdr:colOff>
      <xdr:row>5</xdr:row>
      <xdr:rowOff>115459</xdr:rowOff>
    </xdr:to>
    <xdr:sp macro="[0]!SheetDeleteClearData" textlink="">
      <xdr:nvSpPr>
        <xdr:cNvPr id="13" name="Rounded Rectangle 3">
          <a:extLst>
            <a:ext uri="{FF2B5EF4-FFF2-40B4-BE49-F238E27FC236}">
              <a16:creationId xmlns:a16="http://schemas.microsoft.com/office/drawing/2014/main" id="{93B9613C-022B-3295-38D3-4F93CB086A29}"/>
            </a:ext>
          </a:extLst>
        </xdr:cNvPr>
        <xdr:cNvSpPr/>
      </xdr:nvSpPr>
      <xdr:spPr>
        <a:xfrm>
          <a:off x="7838662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Delete Sheets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  <row r="1217">
          <cell r="A1217">
            <v>46117</v>
          </cell>
        </row>
        <row r="1218">
          <cell r="A1218">
            <v>46117</v>
          </cell>
        </row>
        <row r="1219">
          <cell r="A1219">
            <v>46117</v>
          </cell>
        </row>
        <row r="1220">
          <cell r="A1220">
            <v>46118</v>
          </cell>
        </row>
        <row r="1221">
          <cell r="A1221">
            <v>46118</v>
          </cell>
        </row>
        <row r="1222">
          <cell r="A1222">
            <v>46118</v>
          </cell>
        </row>
        <row r="1223">
          <cell r="A1223">
            <v>46119</v>
          </cell>
        </row>
        <row r="1224">
          <cell r="A1224">
            <v>46119</v>
          </cell>
        </row>
        <row r="1225">
          <cell r="A1225">
            <v>46119</v>
          </cell>
        </row>
        <row r="1226">
          <cell r="A1226">
            <v>46120</v>
          </cell>
        </row>
        <row r="1227">
          <cell r="A1227">
            <v>46120</v>
          </cell>
        </row>
        <row r="1228">
          <cell r="A1228">
            <v>46120</v>
          </cell>
        </row>
        <row r="1229">
          <cell r="A1229">
            <v>46120</v>
          </cell>
        </row>
        <row r="1230">
          <cell r="A1230">
            <v>46120</v>
          </cell>
        </row>
        <row r="1231">
          <cell r="A1231">
            <v>46120</v>
          </cell>
        </row>
        <row r="1232">
          <cell r="A1232">
            <v>46121</v>
          </cell>
        </row>
        <row r="1233">
          <cell r="A1233">
            <v>46121</v>
          </cell>
        </row>
        <row r="1234">
          <cell r="A1234">
            <v>46121</v>
          </cell>
        </row>
        <row r="1235">
          <cell r="A1235">
            <v>46122</v>
          </cell>
        </row>
        <row r="1236">
          <cell r="A1236">
            <v>46122</v>
          </cell>
        </row>
        <row r="1237">
          <cell r="A1237">
            <v>46122</v>
          </cell>
        </row>
        <row r="1238">
          <cell r="A1238">
            <v>46123</v>
          </cell>
        </row>
        <row r="1239">
          <cell r="A1239">
            <v>46123</v>
          </cell>
        </row>
        <row r="1240">
          <cell r="A1240">
            <v>46123</v>
          </cell>
        </row>
        <row r="1241">
          <cell r="A1241">
            <v>46124</v>
          </cell>
        </row>
        <row r="1242">
          <cell r="A1242">
            <v>46124</v>
          </cell>
        </row>
        <row r="1243">
          <cell r="A1243">
            <v>46124</v>
          </cell>
        </row>
        <row r="1244">
          <cell r="A1244">
            <v>46125</v>
          </cell>
        </row>
        <row r="1245">
          <cell r="A1245">
            <v>46125</v>
          </cell>
        </row>
        <row r="1246">
          <cell r="A1246">
            <v>46125</v>
          </cell>
        </row>
        <row r="1247">
          <cell r="A1247">
            <v>46126</v>
          </cell>
        </row>
        <row r="1248">
          <cell r="A1248">
            <v>46126</v>
          </cell>
        </row>
        <row r="1249">
          <cell r="A1249">
            <v>46126</v>
          </cell>
        </row>
        <row r="1250">
          <cell r="A1250">
            <v>46127</v>
          </cell>
        </row>
        <row r="1251">
          <cell r="A1251">
            <v>46127</v>
          </cell>
        </row>
        <row r="1252">
          <cell r="A1252">
            <v>46127</v>
          </cell>
        </row>
        <row r="1253">
          <cell r="A1253">
            <v>46128</v>
          </cell>
        </row>
        <row r="1254">
          <cell r="A1254">
            <v>46128</v>
          </cell>
        </row>
        <row r="1255">
          <cell r="A1255">
            <v>46128</v>
          </cell>
        </row>
        <row r="1256">
          <cell r="A1256">
            <v>46129</v>
          </cell>
        </row>
        <row r="1257">
          <cell r="A1257">
            <v>46129</v>
          </cell>
        </row>
        <row r="1258">
          <cell r="A1258">
            <v>46129</v>
          </cell>
        </row>
        <row r="1259">
          <cell r="A1259">
            <v>46130</v>
          </cell>
        </row>
        <row r="1260">
          <cell r="A1260">
            <v>46130</v>
          </cell>
        </row>
        <row r="1261">
          <cell r="A1261">
            <v>46130</v>
          </cell>
        </row>
        <row r="1262">
          <cell r="A1262">
            <v>46131</v>
          </cell>
        </row>
        <row r="1263">
          <cell r="A1263">
            <v>46131</v>
          </cell>
        </row>
        <row r="1264">
          <cell r="A1264">
            <v>46131</v>
          </cell>
        </row>
        <row r="1265">
          <cell r="A1265">
            <v>46132</v>
          </cell>
        </row>
        <row r="1266">
          <cell r="A1266">
            <v>46132</v>
          </cell>
        </row>
        <row r="1267">
          <cell r="A1267">
            <v>46132</v>
          </cell>
        </row>
        <row r="1268">
          <cell r="A1268">
            <v>46133</v>
          </cell>
        </row>
        <row r="1269">
          <cell r="A1269">
            <v>46133</v>
          </cell>
        </row>
        <row r="1270">
          <cell r="A1270">
            <v>46133</v>
          </cell>
        </row>
        <row r="1271">
          <cell r="A1271">
            <v>46134</v>
          </cell>
        </row>
        <row r="1272">
          <cell r="A1272">
            <v>46134</v>
          </cell>
        </row>
        <row r="1273">
          <cell r="A1273">
            <v>46134</v>
          </cell>
        </row>
        <row r="1274">
          <cell r="A1274">
            <v>46137</v>
          </cell>
        </row>
        <row r="1275">
          <cell r="A1275">
            <v>46137</v>
          </cell>
        </row>
        <row r="1276">
          <cell r="A1276">
            <v>46137</v>
          </cell>
        </row>
        <row r="1277">
          <cell r="A1277">
            <v>46140</v>
          </cell>
        </row>
        <row r="1278">
          <cell r="A1278">
            <v>46140</v>
          </cell>
        </row>
        <row r="1279">
          <cell r="A1279">
            <v>46140</v>
          </cell>
        </row>
        <row r="1280">
          <cell r="A1280">
            <v>46141</v>
          </cell>
        </row>
        <row r="1281">
          <cell r="A1281">
            <v>46141</v>
          </cell>
        </row>
        <row r="1282">
          <cell r="A1282">
            <v>46141</v>
          </cell>
        </row>
      </sheetData>
      <sheetData sheetId="13"/>
      <sheetData sheetId="14"/>
      <sheetData sheetId="15"/>
      <sheetData sheetId="16">
        <row r="2">
          <cell r="A2">
            <v>45659</v>
          </cell>
        </row>
      </sheetData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../../../../../../../Microsoft/Excel/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../../../../../../../Microsoft/Excel/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0"/>
  <sheetViews>
    <sheetView zoomScale="115" zoomScaleNormal="115" workbookViewId="0">
      <selection activeCell="D10" sqref="D10"/>
    </sheetView>
  </sheetViews>
  <sheetFormatPr defaultRowHeight="14.4" x14ac:dyDescent="0.3"/>
  <cols>
    <col min="2" max="2" width="2" style="12" bestFit="1" customWidth="1"/>
    <col min="3" max="3" width="8.6640625" style="12" bestFit="1" customWidth="1"/>
    <col min="4" max="4" width="52.109375" style="12" customWidth="1"/>
  </cols>
  <sheetData>
    <row r="1" spans="2:4" x14ac:dyDescent="0.3">
      <c r="D1" s="13" t="s">
        <v>125</v>
      </c>
    </row>
    <row r="3" spans="2:4" ht="43.2" x14ac:dyDescent="0.3">
      <c r="B3" s="12">
        <v>1</v>
      </c>
      <c r="C3" s="12" t="s">
        <v>42</v>
      </c>
      <c r="D3" s="10" t="s">
        <v>461</v>
      </c>
    </row>
    <row r="5" spans="2:4" x14ac:dyDescent="0.3">
      <c r="B5" s="12">
        <v>2</v>
      </c>
      <c r="C5" s="12" t="s">
        <v>110</v>
      </c>
      <c r="D5" s="13" t="s">
        <v>302</v>
      </c>
    </row>
    <row r="8" spans="2:4" x14ac:dyDescent="0.3">
      <c r="B8" s="12">
        <v>3</v>
      </c>
      <c r="C8" s="12" t="s">
        <v>109</v>
      </c>
      <c r="D8" s="16" t="s">
        <v>111</v>
      </c>
    </row>
    <row r="10" spans="2:4" ht="57.6" x14ac:dyDescent="0.3">
      <c r="B10" s="12">
        <v>4</v>
      </c>
      <c r="C10" s="12" t="s">
        <v>44</v>
      </c>
      <c r="D10" s="10" t="s">
        <v>460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10"/>
  <sheetViews>
    <sheetView workbookViewId="0">
      <selection activeCell="B6" sqref="B6"/>
    </sheetView>
  </sheetViews>
  <sheetFormatPr defaultRowHeight="14.4" x14ac:dyDescent="0.3"/>
  <cols>
    <col min="1" max="1" width="3.88671875" bestFit="1" customWidth="1"/>
    <col min="2" max="2" width="56.44140625" style="15" bestFit="1" customWidth="1"/>
  </cols>
  <sheetData>
    <row r="1" spans="1:3" x14ac:dyDescent="0.3">
      <c r="A1" s="9" t="s">
        <v>13</v>
      </c>
      <c r="B1" s="14" t="s">
        <v>100</v>
      </c>
      <c r="C1" s="9"/>
    </row>
    <row r="2" spans="1:3" x14ac:dyDescent="0.3">
      <c r="A2">
        <v>1</v>
      </c>
      <c r="B2" s="15" t="s">
        <v>360</v>
      </c>
    </row>
    <row r="3" spans="1:3" x14ac:dyDescent="0.3">
      <c r="A3">
        <v>2</v>
      </c>
      <c r="B3" s="15" t="s">
        <v>418</v>
      </c>
    </row>
    <row r="4" spans="1:3" x14ac:dyDescent="0.3">
      <c r="A4">
        <v>3</v>
      </c>
      <c r="B4" s="15" t="s">
        <v>367</v>
      </c>
    </row>
    <row r="5" spans="1:3" x14ac:dyDescent="0.3">
      <c r="A5">
        <v>4</v>
      </c>
      <c r="B5" s="15" t="s">
        <v>419</v>
      </c>
    </row>
    <row r="6" spans="1:3" x14ac:dyDescent="0.3">
      <c r="A6">
        <v>5</v>
      </c>
      <c r="B6" s="15" t="s">
        <v>381</v>
      </c>
    </row>
    <row r="7" spans="1:3" x14ac:dyDescent="0.3">
      <c r="A7">
        <v>6</v>
      </c>
      <c r="B7" s="15" t="s">
        <v>389</v>
      </c>
    </row>
    <row r="8" spans="1:3" x14ac:dyDescent="0.3">
      <c r="A8">
        <v>7</v>
      </c>
      <c r="B8" s="15" t="s">
        <v>396</v>
      </c>
    </row>
    <row r="9" spans="1:3" x14ac:dyDescent="0.3">
      <c r="A9">
        <v>8</v>
      </c>
      <c r="B9" s="15" t="s">
        <v>403</v>
      </c>
    </row>
    <row r="10" spans="1:3" x14ac:dyDescent="0.3">
      <c r="A10">
        <v>9</v>
      </c>
      <c r="B10" s="15" t="s">
        <v>420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>
    <tabColor rgb="FFFFFF00"/>
  </sheetPr>
  <dimension ref="A1:D3"/>
  <sheetViews>
    <sheetView workbookViewId="0">
      <selection activeCell="D3" sqref="D3"/>
    </sheetView>
  </sheetViews>
  <sheetFormatPr defaultRowHeight="14.4" x14ac:dyDescent="0.3"/>
  <cols>
    <col min="1" max="1" width="3.88671875" bestFit="1" customWidth="1"/>
    <col min="2" max="2" width="64.3320312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  <c r="D1" s="9" t="s">
        <v>109</v>
      </c>
    </row>
    <row r="2" spans="1:4" x14ac:dyDescent="0.3">
      <c r="A2">
        <v>1</v>
      </c>
      <c r="B2" t="s">
        <v>457</v>
      </c>
      <c r="C2" t="s">
        <v>455</v>
      </c>
      <c r="D2" t="s">
        <v>458</v>
      </c>
    </row>
    <row r="3" spans="1:4" x14ac:dyDescent="0.3">
      <c r="A3">
        <v>2</v>
      </c>
      <c r="B3" t="s">
        <v>457</v>
      </c>
      <c r="C3" t="s">
        <v>456</v>
      </c>
      <c r="D3" t="s">
        <v>459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3AE-AFAD-4AD1-A1B0-63F4BC149B1E}">
  <sheetPr codeName="Sheet11">
    <tabColor rgb="FFFFFF00"/>
  </sheetPr>
  <dimension ref="A1:D3"/>
  <sheetViews>
    <sheetView tabSelected="1" workbookViewId="0">
      <selection activeCell="D3" sqref="D3"/>
    </sheetView>
  </sheetViews>
  <sheetFormatPr defaultRowHeight="14.4" x14ac:dyDescent="0.3"/>
  <cols>
    <col min="1" max="1" width="3.88671875" style="10" bestFit="1" customWidth="1"/>
    <col min="2" max="2" width="39.33203125" style="10" customWidth="1"/>
    <col min="3" max="3" width="28.77734375" style="10" customWidth="1"/>
    <col min="4" max="4" width="73.33203125" style="10" bestFit="1" customWidth="1"/>
    <col min="5" max="16384" width="8.88671875" style="12"/>
  </cols>
  <sheetData>
    <row r="1" spans="1:4" x14ac:dyDescent="0.3">
      <c r="A1" s="11" t="s">
        <v>13</v>
      </c>
      <c r="B1" s="11" t="s">
        <v>108</v>
      </c>
      <c r="C1" s="11" t="s">
        <v>44</v>
      </c>
      <c r="D1" s="11" t="s">
        <v>109</v>
      </c>
    </row>
    <row r="2" spans="1:4" x14ac:dyDescent="0.3">
      <c r="A2" s="10">
        <v>1</v>
      </c>
      <c r="C2" s="10" t="s">
        <v>462</v>
      </c>
      <c r="D2" s="10" t="s">
        <v>463</v>
      </c>
    </row>
    <row r="3" spans="1:4" x14ac:dyDescent="0.3">
      <c r="A3" s="10">
        <v>2</v>
      </c>
      <c r="C3" s="10" t="s">
        <v>464</v>
      </c>
      <c r="D3" s="10" t="s">
        <v>465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60E76-15E9-4D29-A616-64C8D0F4780D}">
  <sheetPr codeName="Sheet12">
    <tabColor rgb="FFFF0000"/>
  </sheetPr>
  <dimension ref="A1:D13"/>
  <sheetViews>
    <sheetView workbookViewId="0">
      <selection activeCell="A2" sqref="A2:XFD4"/>
    </sheetView>
  </sheetViews>
  <sheetFormatPr defaultRowHeight="14.4" x14ac:dyDescent="0.3"/>
  <cols>
    <col min="1" max="1" width="3.88671875" bestFit="1" customWidth="1"/>
    <col min="2" max="2" width="121.44140625" bestFit="1" customWidth="1"/>
    <col min="3" max="3" width="42.2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</row>
    <row r="2" spans="1:4" x14ac:dyDescent="0.3">
      <c r="A2">
        <v>1</v>
      </c>
      <c r="B2" t="s">
        <v>422</v>
      </c>
      <c r="C2" t="s">
        <v>423</v>
      </c>
      <c r="D2" t="s">
        <v>303</v>
      </c>
    </row>
    <row r="3" spans="1:4" x14ac:dyDescent="0.3">
      <c r="A3">
        <v>2</v>
      </c>
      <c r="B3" t="s">
        <v>424</v>
      </c>
      <c r="C3" t="s">
        <v>425</v>
      </c>
      <c r="D3" t="s">
        <v>303</v>
      </c>
    </row>
    <row r="4" spans="1:4" x14ac:dyDescent="0.3">
      <c r="A4">
        <v>3</v>
      </c>
      <c r="B4" t="s">
        <v>426</v>
      </c>
      <c r="C4" t="s">
        <v>427</v>
      </c>
      <c r="D4" t="s">
        <v>303</v>
      </c>
    </row>
    <row r="5" spans="1:4" x14ac:dyDescent="0.3">
      <c r="A5">
        <v>4</v>
      </c>
      <c r="B5" t="s">
        <v>428</v>
      </c>
      <c r="C5" t="s">
        <v>429</v>
      </c>
      <c r="D5" t="s">
        <v>303</v>
      </c>
    </row>
    <row r="6" spans="1:4" x14ac:dyDescent="0.3">
      <c r="A6">
        <v>5</v>
      </c>
      <c r="B6" t="s">
        <v>430</v>
      </c>
      <c r="C6" t="s">
        <v>431</v>
      </c>
      <c r="D6" t="s">
        <v>303</v>
      </c>
    </row>
    <row r="7" spans="1:4" x14ac:dyDescent="0.3">
      <c r="A7">
        <v>6</v>
      </c>
      <c r="B7" t="s">
        <v>432</v>
      </c>
      <c r="C7" t="s">
        <v>433</v>
      </c>
      <c r="D7" t="s">
        <v>303</v>
      </c>
    </row>
    <row r="8" spans="1:4" x14ac:dyDescent="0.3">
      <c r="A8">
        <v>7</v>
      </c>
      <c r="B8" t="s">
        <v>432</v>
      </c>
      <c r="C8" t="s">
        <v>434</v>
      </c>
      <c r="D8" t="s">
        <v>303</v>
      </c>
    </row>
    <row r="9" spans="1:4" x14ac:dyDescent="0.3">
      <c r="A9">
        <v>8</v>
      </c>
      <c r="B9" t="s">
        <v>432</v>
      </c>
      <c r="C9" t="s">
        <v>435</v>
      </c>
      <c r="D9" t="s">
        <v>303</v>
      </c>
    </row>
    <row r="10" spans="1:4" x14ac:dyDescent="0.3">
      <c r="A10">
        <v>9</v>
      </c>
      <c r="B10" t="s">
        <v>432</v>
      </c>
      <c r="C10" t="s">
        <v>436</v>
      </c>
      <c r="D10" t="s">
        <v>303</v>
      </c>
    </row>
    <row r="11" spans="1:4" x14ac:dyDescent="0.3">
      <c r="A11">
        <v>10</v>
      </c>
      <c r="B11" t="s">
        <v>432</v>
      </c>
      <c r="C11" t="s">
        <v>437</v>
      </c>
      <c r="D11" t="s">
        <v>303</v>
      </c>
    </row>
    <row r="12" spans="1:4" x14ac:dyDescent="0.3">
      <c r="A12">
        <v>11</v>
      </c>
      <c r="B12" t="s">
        <v>438</v>
      </c>
      <c r="C12" t="s">
        <v>439</v>
      </c>
      <c r="D12" t="s">
        <v>303</v>
      </c>
    </row>
    <row r="13" spans="1:4" x14ac:dyDescent="0.3">
      <c r="A13">
        <v>12</v>
      </c>
      <c r="B13" t="s">
        <v>440</v>
      </c>
      <c r="C13" t="s">
        <v>441</v>
      </c>
      <c r="D13" t="s">
        <v>303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theme="9"/>
  </sheetPr>
  <dimension ref="A1:G12"/>
  <sheetViews>
    <sheetView workbookViewId="0">
      <selection activeCell="E5" sqref="E5"/>
    </sheetView>
  </sheetViews>
  <sheetFormatPr defaultRowHeight="14.4" x14ac:dyDescent="0.3"/>
  <cols>
    <col min="1" max="2" width="8.88671875" style="10"/>
    <col min="3" max="3" width="52.88671875" style="10" customWidth="1"/>
    <col min="4" max="4" width="19.109375" style="10" bestFit="1" customWidth="1"/>
    <col min="5" max="5" width="64.5546875" style="10" customWidth="1"/>
    <col min="6" max="6" width="27.33203125" style="10" customWidth="1"/>
    <col min="7" max="7" width="8.88671875" style="10"/>
  </cols>
  <sheetData>
    <row r="1" spans="1:6" x14ac:dyDescent="0.3">
      <c r="A1" s="11" t="s">
        <v>13</v>
      </c>
      <c r="B1" s="11" t="s">
        <v>98</v>
      </c>
      <c r="C1" s="11" t="s">
        <v>43</v>
      </c>
      <c r="D1" s="11" t="s">
        <v>96</v>
      </c>
      <c r="E1" s="11"/>
      <c r="F1" s="11"/>
    </row>
    <row r="2" spans="1:6" ht="57.6" x14ac:dyDescent="0.3">
      <c r="A2" s="10">
        <v>1</v>
      </c>
      <c r="B2" s="10" t="s">
        <v>0</v>
      </c>
      <c r="C2" s="10" t="s">
        <v>95</v>
      </c>
      <c r="D2" s="10" t="s">
        <v>1</v>
      </c>
      <c r="E2" s="10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0" t="s">
        <v>97</v>
      </c>
    </row>
    <row r="3" spans="1:6" ht="57.6" x14ac:dyDescent="0.3">
      <c r="A3" s="10">
        <v>2</v>
      </c>
      <c r="B3" s="10" t="s">
        <v>0</v>
      </c>
      <c r="C3" s="10" t="s">
        <v>95</v>
      </c>
      <c r="D3" s="10" t="s">
        <v>99</v>
      </c>
      <c r="E3" s="10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0" t="s">
        <v>97</v>
      </c>
    </row>
    <row r="4" spans="1:6" ht="57.6" x14ac:dyDescent="0.3">
      <c r="A4" s="10">
        <v>3</v>
      </c>
      <c r="B4" s="10" t="s">
        <v>0</v>
      </c>
      <c r="C4" s="10" t="s">
        <v>95</v>
      </c>
      <c r="D4" s="10" t="s">
        <v>11</v>
      </c>
      <c r="E4" s="10" t="str">
        <f t="shared" si="0"/>
        <v>mklink /J "C:\Users\nguye\AppData\Roaming\MetaQuotes\Terminal\D0E8209F77C8CF37AD8BF550E51FF075\MQL5\Experts\Anatoli Kazharski" "D:\MT5-Dev\Experts\Anatoli Kazharski"</v>
      </c>
      <c r="F4" s="10" t="s">
        <v>97</v>
      </c>
    </row>
    <row r="5" spans="1:6" ht="43.2" x14ac:dyDescent="0.3">
      <c r="A5" s="10">
        <v>4</v>
      </c>
      <c r="B5" s="10" t="s">
        <v>0</v>
      </c>
      <c r="C5" s="10" t="s">
        <v>95</v>
      </c>
      <c r="D5" s="10" t="s">
        <v>101</v>
      </c>
      <c r="E5" s="10" t="str">
        <f t="shared" si="0"/>
        <v>mklink /J "C:\Users\nguye\AppData\Roaming\MetaQuotes\Terminal\D0E8209F77C8CF37AD8BF550E51FF075\MQL5\Experts\Anhnt" "D:\MT5-Dev\Experts\Anhnt"</v>
      </c>
      <c r="F5" s="10" t="s">
        <v>97</v>
      </c>
    </row>
    <row r="6" spans="1:6" ht="57.6" x14ac:dyDescent="0.3">
      <c r="A6" s="10">
        <v>5</v>
      </c>
      <c r="B6" s="10" t="s">
        <v>0</v>
      </c>
      <c r="C6" s="10" t="s">
        <v>95</v>
      </c>
      <c r="D6" s="10" t="s">
        <v>15</v>
      </c>
      <c r="E6" s="10" t="str">
        <f t="shared" si="0"/>
        <v>mklink /J "C:\Users\nguye\AppData\Roaming\MetaQuotes\Terminal\D0E8209F77C8CF37AD8BF550E51FF075\MQL5\Experts\Artyom Trishkin" "D:\MT5-Dev\Experts\Artyom Trishkin"</v>
      </c>
      <c r="F6" s="10" t="s">
        <v>97</v>
      </c>
    </row>
    <row r="7" spans="1:6" ht="57.6" x14ac:dyDescent="0.3">
      <c r="A7" s="10">
        <v>6</v>
      </c>
      <c r="B7" s="10" t="s">
        <v>0</v>
      </c>
      <c r="C7" s="10" t="s">
        <v>95</v>
      </c>
      <c r="D7" s="10" t="s">
        <v>102</v>
      </c>
      <c r="E7" s="10" t="str">
        <f t="shared" si="0"/>
        <v>mklink /J "C:\Users\nguye\AppData\Roaming\MetaQuotes\Terminal\D0E8209F77C8CF37AD8BF550E51FF075\MQL5\Experts\Chacha Ian Maroa" "D:\MT5-Dev\Experts\Chacha Ian Maroa"</v>
      </c>
      <c r="F7" s="10" t="s">
        <v>97</v>
      </c>
    </row>
    <row r="8" spans="1:6" ht="57.6" x14ac:dyDescent="0.3">
      <c r="A8" s="10">
        <v>7</v>
      </c>
      <c r="B8" s="10" t="s">
        <v>0</v>
      </c>
      <c r="C8" s="10" t="s">
        <v>95</v>
      </c>
      <c r="D8" s="10" t="s">
        <v>103</v>
      </c>
      <c r="E8" s="10" t="str">
        <f t="shared" si="0"/>
        <v>mklink /J "C:\Users\nguye\AppData\Roaming\MetaQuotes\Terminal\D0E8209F77C8CF37AD8BF550E51FF075\MQL5\Experts\Christian Benjamin" "D:\MT5-Dev\Experts\Christian Benjamin"</v>
      </c>
      <c r="F8" s="10" t="s">
        <v>97</v>
      </c>
    </row>
    <row r="9" spans="1:6" ht="57.6" x14ac:dyDescent="0.3">
      <c r="A9" s="10">
        <v>8</v>
      </c>
      <c r="B9" s="10" t="s">
        <v>0</v>
      </c>
      <c r="C9" s="10" t="s">
        <v>95</v>
      </c>
      <c r="D9" s="10" t="s">
        <v>104</v>
      </c>
      <c r="E9" s="10" t="str">
        <f t="shared" si="0"/>
        <v>mklink /J "C:\Users\nguye\AppData\Roaming\MetaQuotes\Terminal\D0E8209F77C8CF37AD8BF550E51FF075\MQL5\Experts\Clemence Benjamin" "D:\MT5-Dev\Experts\Clemence Benjamin"</v>
      </c>
      <c r="F9" s="10" t="s">
        <v>97</v>
      </c>
    </row>
    <row r="10" spans="1:6" ht="57.6" x14ac:dyDescent="0.3">
      <c r="A10" s="10">
        <v>9</v>
      </c>
      <c r="B10" s="10" t="s">
        <v>0</v>
      </c>
      <c r="C10" s="10" t="s">
        <v>95</v>
      </c>
      <c r="D10" s="10" t="s">
        <v>105</v>
      </c>
      <c r="E10" s="10" t="str">
        <f t="shared" si="0"/>
        <v>mklink /J "C:\Users\nguye\AppData\Roaming\MetaQuotes\Terminal\D0E8209F77C8CF37AD8BF550E51FF075\MQL5\Experts\Dmitry Voronkov" "D:\MT5-Dev\Experts\Dmitry Voronkov"</v>
      </c>
      <c r="F10" s="10" t="s">
        <v>97</v>
      </c>
    </row>
    <row r="11" spans="1:6" ht="57.6" x14ac:dyDescent="0.3">
      <c r="A11" s="10">
        <v>10</v>
      </c>
      <c r="B11" s="10" t="s">
        <v>0</v>
      </c>
      <c r="C11" s="10" t="s">
        <v>95</v>
      </c>
      <c r="D11" s="10" t="s">
        <v>106</v>
      </c>
      <c r="E11" s="10" t="str">
        <f t="shared" si="0"/>
        <v>mklink /J "C:\Users\nguye\AppData\Roaming\MetaQuotes\Terminal\D0E8209F77C8CF37AD8BF550E51FF075\MQL5\Experts\Hlomohang John Borotho" "D:\MT5-Dev\Experts\Hlomohang John Borotho"</v>
      </c>
      <c r="F11" s="10" t="s">
        <v>97</v>
      </c>
    </row>
    <row r="12" spans="1:6" ht="57.6" x14ac:dyDescent="0.3">
      <c r="B12" s="10" t="s">
        <v>0</v>
      </c>
      <c r="C12" s="10" t="s">
        <v>95</v>
      </c>
      <c r="D12" s="10" t="s">
        <v>107</v>
      </c>
      <c r="E12" s="10" t="str">
        <f t="shared" si="0"/>
        <v>mklink /J "C:\Users\nguye\AppData\Roaming\MetaQuotes\Terminal\D0E8209F77C8CF37AD8BF550E51FF075\MQL5\Experts\joaopedrodev" "D:\MT5-Dev\Experts\joaopedrodev"</v>
      </c>
      <c r="F12" s="10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>
    <tabColor rgb="FF00B050"/>
  </sheetPr>
  <dimension ref="A1:G282"/>
  <sheetViews>
    <sheetView workbookViewId="0">
      <pane ySplit="1" topLeftCell="A2" activePane="bottomLeft" state="frozen"/>
      <selection pane="bottomLeft" activeCell="D4" sqref="D4"/>
    </sheetView>
  </sheetViews>
  <sheetFormatPr defaultRowHeight="14.4" x14ac:dyDescent="0.3"/>
  <cols>
    <col min="1" max="1" width="6.109375" style="10" bestFit="1" customWidth="1"/>
    <col min="2" max="2" width="46.88671875" style="10" customWidth="1"/>
    <col min="3" max="3" width="30.109375" style="10" bestFit="1" customWidth="1"/>
    <col min="4" max="4" width="47.5546875" style="10" customWidth="1"/>
    <col min="5" max="5" width="27.33203125" style="10" customWidth="1"/>
    <col min="6" max="6" width="43.109375" style="10" bestFit="1" customWidth="1"/>
    <col min="7" max="7" width="50.77734375" style="10" customWidth="1"/>
    <col min="8" max="8" width="30.77734375" customWidth="1"/>
  </cols>
  <sheetData>
    <row r="1" spans="1:7" s="9" customFormat="1" x14ac:dyDescent="0.3">
      <c r="A1" s="11" t="s">
        <v>13</v>
      </c>
      <c r="B1" s="11" t="s">
        <v>42</v>
      </c>
      <c r="C1" s="11" t="s">
        <v>123</v>
      </c>
      <c r="D1" s="11" t="s">
        <v>41</v>
      </c>
      <c r="E1" s="11" t="s">
        <v>40</v>
      </c>
      <c r="F1" s="11" t="s">
        <v>122</v>
      </c>
      <c r="G1" s="11" t="s">
        <v>124</v>
      </c>
    </row>
    <row r="2" spans="1:7" ht="28.8" x14ac:dyDescent="0.3">
      <c r="A2" s="10">
        <v>1</v>
      </c>
      <c r="C2" s="10" t="s">
        <v>356</v>
      </c>
      <c r="D2" s="10" t="s">
        <v>357</v>
      </c>
      <c r="F2" s="10" t="s">
        <v>358</v>
      </c>
      <c r="G2" s="10" t="s">
        <v>359</v>
      </c>
    </row>
    <row r="3" spans="1:7" ht="43.2" x14ac:dyDescent="0.3">
      <c r="A3" s="10">
        <v>2</v>
      </c>
      <c r="B3" s="10" t="s">
        <v>360</v>
      </c>
      <c r="C3" s="10" t="s">
        <v>361</v>
      </c>
      <c r="D3" s="10" t="s">
        <v>191</v>
      </c>
      <c r="E3" s="10" t="s">
        <v>192</v>
      </c>
      <c r="F3" s="10" t="s">
        <v>362</v>
      </c>
      <c r="G3" s="10" t="s">
        <v>363</v>
      </c>
    </row>
    <row r="4" spans="1:7" ht="43.2" x14ac:dyDescent="0.3">
      <c r="A4" s="10">
        <v>3</v>
      </c>
      <c r="B4" s="10" t="s">
        <v>360</v>
      </c>
      <c r="C4" s="10" t="s">
        <v>361</v>
      </c>
      <c r="D4" s="10" t="s">
        <v>193</v>
      </c>
      <c r="E4" s="10" t="s">
        <v>194</v>
      </c>
      <c r="F4" s="10" t="s">
        <v>362</v>
      </c>
      <c r="G4" s="10" t="s">
        <v>363</v>
      </c>
    </row>
    <row r="5" spans="1:7" ht="43.2" x14ac:dyDescent="0.3">
      <c r="A5" s="10">
        <v>4</v>
      </c>
      <c r="B5" s="10" t="s">
        <v>360</v>
      </c>
      <c r="C5" s="10" t="s">
        <v>361</v>
      </c>
      <c r="D5" s="10" t="s">
        <v>195</v>
      </c>
      <c r="E5" s="10" t="s">
        <v>194</v>
      </c>
      <c r="F5" s="10" t="s">
        <v>362</v>
      </c>
      <c r="G5" s="10" t="s">
        <v>363</v>
      </c>
    </row>
    <row r="6" spans="1:7" ht="43.2" x14ac:dyDescent="0.3">
      <c r="A6" s="10">
        <v>5</v>
      </c>
      <c r="B6" s="10" t="s">
        <v>360</v>
      </c>
      <c r="C6" s="10" t="s">
        <v>361</v>
      </c>
      <c r="D6" s="10" t="s">
        <v>196</v>
      </c>
      <c r="E6" s="10" t="s">
        <v>194</v>
      </c>
      <c r="F6" s="10" t="s">
        <v>362</v>
      </c>
      <c r="G6" s="10" t="s">
        <v>363</v>
      </c>
    </row>
    <row r="7" spans="1:7" ht="28.8" x14ac:dyDescent="0.3">
      <c r="A7" s="10">
        <v>6</v>
      </c>
      <c r="B7" s="10" t="s">
        <v>364</v>
      </c>
      <c r="C7" s="10" t="s">
        <v>117</v>
      </c>
      <c r="D7" s="10" t="s">
        <v>197</v>
      </c>
      <c r="E7" s="10" t="s">
        <v>194</v>
      </c>
      <c r="F7" s="10" t="s">
        <v>365</v>
      </c>
      <c r="G7" s="10" t="s">
        <v>366</v>
      </c>
    </row>
    <row r="8" spans="1:7" ht="28.8" x14ac:dyDescent="0.3">
      <c r="A8" s="10">
        <v>7</v>
      </c>
      <c r="B8" s="10" t="s">
        <v>364</v>
      </c>
      <c r="C8" s="10" t="s">
        <v>117</v>
      </c>
      <c r="D8" s="10" t="s">
        <v>198</v>
      </c>
      <c r="E8" s="10" t="s">
        <v>197</v>
      </c>
      <c r="F8" s="10" t="s">
        <v>365</v>
      </c>
      <c r="G8" s="10" t="s">
        <v>366</v>
      </c>
    </row>
    <row r="9" spans="1:7" ht="28.8" x14ac:dyDescent="0.3">
      <c r="A9" s="10">
        <v>8</v>
      </c>
      <c r="B9" s="10" t="s">
        <v>364</v>
      </c>
      <c r="C9" s="10" t="s">
        <v>117</v>
      </c>
      <c r="D9" s="10" t="s">
        <v>199</v>
      </c>
      <c r="E9" s="10" t="s">
        <v>197</v>
      </c>
      <c r="F9" s="10" t="s">
        <v>365</v>
      </c>
      <c r="G9" s="10" t="s">
        <v>366</v>
      </c>
    </row>
    <row r="10" spans="1:7" ht="28.8" x14ac:dyDescent="0.3">
      <c r="A10" s="10">
        <v>9</v>
      </c>
      <c r="B10" s="10" t="s">
        <v>364</v>
      </c>
      <c r="C10" s="10" t="s">
        <v>117</v>
      </c>
      <c r="D10" s="10" t="s">
        <v>200</v>
      </c>
      <c r="E10" s="10" t="s">
        <v>197</v>
      </c>
      <c r="F10" s="10" t="s">
        <v>365</v>
      </c>
      <c r="G10" s="10" t="s">
        <v>366</v>
      </c>
    </row>
    <row r="11" spans="1:7" ht="28.8" x14ac:dyDescent="0.3">
      <c r="A11" s="10">
        <v>10</v>
      </c>
      <c r="B11" s="10" t="s">
        <v>364</v>
      </c>
      <c r="C11" s="10" t="s">
        <v>117</v>
      </c>
      <c r="D11" s="10" t="s">
        <v>201</v>
      </c>
      <c r="E11" s="10" t="s">
        <v>197</v>
      </c>
      <c r="F11" s="10" t="s">
        <v>365</v>
      </c>
      <c r="G11" s="10" t="s">
        <v>366</v>
      </c>
    </row>
    <row r="12" spans="1:7" ht="28.8" x14ac:dyDescent="0.3">
      <c r="A12" s="10">
        <v>11</v>
      </c>
      <c r="B12" s="10" t="s">
        <v>367</v>
      </c>
      <c r="C12" s="10" t="s">
        <v>117</v>
      </c>
      <c r="D12" s="10" t="s">
        <v>197</v>
      </c>
      <c r="E12" s="10" t="s">
        <v>194</v>
      </c>
      <c r="F12" s="10" t="s">
        <v>368</v>
      </c>
      <c r="G12" s="10" t="s">
        <v>369</v>
      </c>
    </row>
    <row r="13" spans="1:7" ht="28.8" x14ac:dyDescent="0.3">
      <c r="A13" s="10">
        <v>12</v>
      </c>
      <c r="B13" s="10" t="s">
        <v>367</v>
      </c>
      <c r="C13" s="10" t="s">
        <v>117</v>
      </c>
      <c r="D13" s="10" t="s">
        <v>198</v>
      </c>
      <c r="E13" s="10" t="s">
        <v>197</v>
      </c>
      <c r="F13" s="10" t="s">
        <v>368</v>
      </c>
      <c r="G13" s="10" t="s">
        <v>369</v>
      </c>
    </row>
    <row r="14" spans="1:7" ht="28.8" x14ac:dyDescent="0.3">
      <c r="A14" s="10">
        <v>13</v>
      </c>
      <c r="B14" s="10" t="s">
        <v>367</v>
      </c>
      <c r="C14" s="10" t="s">
        <v>117</v>
      </c>
      <c r="D14" s="10" t="s">
        <v>199</v>
      </c>
      <c r="E14" s="10" t="s">
        <v>197</v>
      </c>
      <c r="F14" s="10" t="s">
        <v>368</v>
      </c>
      <c r="G14" s="10" t="s">
        <v>369</v>
      </c>
    </row>
    <row r="15" spans="1:7" ht="28.8" x14ac:dyDescent="0.3">
      <c r="A15" s="10">
        <v>14</v>
      </c>
      <c r="B15" s="10" t="s">
        <v>367</v>
      </c>
      <c r="C15" s="10" t="s">
        <v>117</v>
      </c>
      <c r="D15" s="10" t="s">
        <v>200</v>
      </c>
      <c r="E15" s="10" t="s">
        <v>197</v>
      </c>
      <c r="F15" s="10" t="s">
        <v>368</v>
      </c>
      <c r="G15" s="10" t="s">
        <v>369</v>
      </c>
    </row>
    <row r="16" spans="1:7" ht="28.8" x14ac:dyDescent="0.3">
      <c r="A16" s="10">
        <v>15</v>
      </c>
      <c r="B16" s="10" t="s">
        <v>367</v>
      </c>
      <c r="C16" s="10" t="s">
        <v>117</v>
      </c>
      <c r="D16" s="10" t="s">
        <v>201</v>
      </c>
      <c r="E16" s="10" t="s">
        <v>197</v>
      </c>
      <c r="F16" s="10" t="s">
        <v>368</v>
      </c>
      <c r="G16" s="10" t="s">
        <v>369</v>
      </c>
    </row>
    <row r="17" spans="1:7" ht="28.8" x14ac:dyDescent="0.3">
      <c r="A17" s="10">
        <v>16</v>
      </c>
      <c r="B17" s="10" t="s">
        <v>367</v>
      </c>
      <c r="C17" s="10" t="s">
        <v>118</v>
      </c>
      <c r="D17" s="10" t="s">
        <v>202</v>
      </c>
      <c r="E17" s="10" t="s">
        <v>197</v>
      </c>
      <c r="F17" s="10" t="s">
        <v>370</v>
      </c>
      <c r="G17" s="10" t="s">
        <v>371</v>
      </c>
    </row>
    <row r="18" spans="1:7" ht="28.8" x14ac:dyDescent="0.3">
      <c r="A18" s="10">
        <v>17</v>
      </c>
      <c r="B18" s="10" t="s">
        <v>367</v>
      </c>
      <c r="C18" s="10" t="s">
        <v>118</v>
      </c>
      <c r="D18" s="10" t="s">
        <v>203</v>
      </c>
      <c r="E18" s="10" t="s">
        <v>201</v>
      </c>
      <c r="F18" s="10" t="s">
        <v>370</v>
      </c>
      <c r="G18" s="10" t="s">
        <v>371</v>
      </c>
    </row>
    <row r="19" spans="1:7" ht="28.8" x14ac:dyDescent="0.3">
      <c r="A19" s="10">
        <v>18</v>
      </c>
      <c r="B19" s="10" t="s">
        <v>367</v>
      </c>
      <c r="C19" s="10" t="s">
        <v>118</v>
      </c>
      <c r="D19" s="10" t="s">
        <v>204</v>
      </c>
      <c r="E19" s="10" t="s">
        <v>203</v>
      </c>
      <c r="F19" s="10" t="s">
        <v>370</v>
      </c>
      <c r="G19" s="10" t="s">
        <v>371</v>
      </c>
    </row>
    <row r="20" spans="1:7" ht="28.8" x14ac:dyDescent="0.3">
      <c r="A20" s="10">
        <v>19</v>
      </c>
      <c r="B20" s="10" t="s">
        <v>367</v>
      </c>
      <c r="C20" s="10" t="s">
        <v>118</v>
      </c>
      <c r="D20" s="10" t="s">
        <v>205</v>
      </c>
      <c r="E20" s="10" t="s">
        <v>204</v>
      </c>
      <c r="F20" s="10" t="s">
        <v>370</v>
      </c>
      <c r="G20" s="10" t="s">
        <v>371</v>
      </c>
    </row>
    <row r="21" spans="1:7" ht="28.8" x14ac:dyDescent="0.3">
      <c r="A21" s="10">
        <v>20</v>
      </c>
      <c r="B21" s="10" t="s">
        <v>367</v>
      </c>
      <c r="C21" s="10" t="s">
        <v>118</v>
      </c>
      <c r="D21" s="10" t="s">
        <v>206</v>
      </c>
      <c r="E21" s="10" t="s">
        <v>204</v>
      </c>
      <c r="F21" s="10" t="s">
        <v>370</v>
      </c>
      <c r="G21" s="10" t="s">
        <v>371</v>
      </c>
    </row>
    <row r="22" spans="1:7" ht="28.8" x14ac:dyDescent="0.3">
      <c r="A22" s="10">
        <v>21</v>
      </c>
      <c r="B22" s="10" t="s">
        <v>367</v>
      </c>
      <c r="C22" s="10" t="s">
        <v>118</v>
      </c>
      <c r="D22" s="10" t="s">
        <v>207</v>
      </c>
      <c r="E22" s="10" t="s">
        <v>204</v>
      </c>
      <c r="F22" s="10" t="s">
        <v>370</v>
      </c>
      <c r="G22" s="10" t="s">
        <v>371</v>
      </c>
    </row>
    <row r="23" spans="1:7" ht="28.8" x14ac:dyDescent="0.3">
      <c r="A23" s="10">
        <v>22</v>
      </c>
      <c r="B23" s="10" t="s">
        <v>367</v>
      </c>
      <c r="C23" s="10" t="s">
        <v>118</v>
      </c>
      <c r="D23" s="10" t="s">
        <v>208</v>
      </c>
      <c r="E23" s="10" t="s">
        <v>204</v>
      </c>
      <c r="F23" s="10" t="s">
        <v>370</v>
      </c>
      <c r="G23" s="10" t="s">
        <v>371</v>
      </c>
    </row>
    <row r="24" spans="1:7" ht="28.8" x14ac:dyDescent="0.3">
      <c r="A24" s="10">
        <v>23</v>
      </c>
      <c r="B24" s="10" t="s">
        <v>367</v>
      </c>
      <c r="C24" s="10" t="s">
        <v>118</v>
      </c>
      <c r="D24" s="10" t="s">
        <v>209</v>
      </c>
      <c r="E24" s="10" t="s">
        <v>204</v>
      </c>
      <c r="F24" s="10" t="s">
        <v>370</v>
      </c>
      <c r="G24" s="10" t="s">
        <v>371</v>
      </c>
    </row>
    <row r="25" spans="1:7" ht="28.8" x14ac:dyDescent="0.3">
      <c r="A25" s="10">
        <v>24</v>
      </c>
      <c r="B25" s="10" t="s">
        <v>367</v>
      </c>
      <c r="C25" s="10" t="s">
        <v>118</v>
      </c>
      <c r="D25" s="10" t="s">
        <v>210</v>
      </c>
      <c r="E25" s="10" t="s">
        <v>205</v>
      </c>
      <c r="F25" s="10" t="s">
        <v>370</v>
      </c>
      <c r="G25" s="10" t="s">
        <v>371</v>
      </c>
    </row>
    <row r="26" spans="1:7" ht="28.8" x14ac:dyDescent="0.3">
      <c r="A26" s="10">
        <v>25</v>
      </c>
      <c r="B26" s="10" t="s">
        <v>367</v>
      </c>
      <c r="C26" s="10" t="s">
        <v>118</v>
      </c>
      <c r="D26" s="10" t="s">
        <v>211</v>
      </c>
      <c r="E26" s="10" t="s">
        <v>210</v>
      </c>
      <c r="F26" s="10" t="s">
        <v>370</v>
      </c>
      <c r="G26" s="10" t="s">
        <v>371</v>
      </c>
    </row>
    <row r="27" spans="1:7" ht="28.8" x14ac:dyDescent="0.3">
      <c r="A27" s="10">
        <v>26</v>
      </c>
      <c r="B27" s="10" t="s">
        <v>372</v>
      </c>
      <c r="C27" s="10" t="s">
        <v>373</v>
      </c>
      <c r="F27" s="10" t="s">
        <v>374</v>
      </c>
      <c r="G27" s="10" t="s">
        <v>375</v>
      </c>
    </row>
    <row r="28" spans="1:7" ht="28.8" x14ac:dyDescent="0.3">
      <c r="A28" s="10">
        <v>27</v>
      </c>
      <c r="B28" s="10" t="s">
        <v>376</v>
      </c>
      <c r="C28" s="10" t="s">
        <v>117</v>
      </c>
      <c r="D28" s="10" t="s">
        <v>212</v>
      </c>
      <c r="F28" s="10" t="s">
        <v>377</v>
      </c>
      <c r="G28" s="10" t="s">
        <v>378</v>
      </c>
    </row>
    <row r="29" spans="1:7" ht="28.8" x14ac:dyDescent="0.3">
      <c r="A29" s="10">
        <v>28</v>
      </c>
      <c r="B29" s="10" t="s">
        <v>376</v>
      </c>
      <c r="C29" s="10" t="s">
        <v>117</v>
      </c>
      <c r="D29" s="10" t="s">
        <v>197</v>
      </c>
      <c r="E29" s="10" t="s">
        <v>194</v>
      </c>
      <c r="F29" s="10" t="s">
        <v>377</v>
      </c>
      <c r="G29" s="10" t="s">
        <v>378</v>
      </c>
    </row>
    <row r="30" spans="1:7" ht="28.8" x14ac:dyDescent="0.3">
      <c r="A30" s="10">
        <v>29</v>
      </c>
      <c r="B30" s="10" t="s">
        <v>376</v>
      </c>
      <c r="C30" s="10" t="s">
        <v>117</v>
      </c>
      <c r="D30" s="10" t="s">
        <v>198</v>
      </c>
      <c r="E30" s="10" t="s">
        <v>197</v>
      </c>
      <c r="F30" s="10" t="s">
        <v>377</v>
      </c>
      <c r="G30" s="10" t="s">
        <v>378</v>
      </c>
    </row>
    <row r="31" spans="1:7" ht="28.8" x14ac:dyDescent="0.3">
      <c r="A31" s="10">
        <v>30</v>
      </c>
      <c r="B31" s="10" t="s">
        <v>376</v>
      </c>
      <c r="C31" s="10" t="s">
        <v>117</v>
      </c>
      <c r="D31" s="10" t="s">
        <v>199</v>
      </c>
      <c r="E31" s="10" t="s">
        <v>197</v>
      </c>
      <c r="F31" s="10" t="s">
        <v>377</v>
      </c>
      <c r="G31" s="10" t="s">
        <v>378</v>
      </c>
    </row>
    <row r="32" spans="1:7" ht="28.8" x14ac:dyDescent="0.3">
      <c r="A32" s="10">
        <v>31</v>
      </c>
      <c r="B32" s="10" t="s">
        <v>376</v>
      </c>
      <c r="C32" s="10" t="s">
        <v>117</v>
      </c>
      <c r="D32" s="10" t="s">
        <v>200</v>
      </c>
      <c r="E32" s="10" t="s">
        <v>197</v>
      </c>
      <c r="F32" s="10" t="s">
        <v>377</v>
      </c>
      <c r="G32" s="10" t="s">
        <v>378</v>
      </c>
    </row>
    <row r="33" spans="1:7" ht="28.8" x14ac:dyDescent="0.3">
      <c r="A33" s="10">
        <v>32</v>
      </c>
      <c r="B33" s="10" t="s">
        <v>376</v>
      </c>
      <c r="C33" s="10" t="s">
        <v>117</v>
      </c>
      <c r="D33" s="10" t="s">
        <v>213</v>
      </c>
      <c r="E33" s="10" t="s">
        <v>197</v>
      </c>
      <c r="F33" s="10" t="s">
        <v>377</v>
      </c>
      <c r="G33" s="10" t="s">
        <v>378</v>
      </c>
    </row>
    <row r="34" spans="1:7" ht="28.8" x14ac:dyDescent="0.3">
      <c r="A34" s="10">
        <v>33</v>
      </c>
      <c r="B34" s="10" t="s">
        <v>376</v>
      </c>
      <c r="C34" s="10" t="s">
        <v>117</v>
      </c>
      <c r="D34" s="10" t="s">
        <v>214</v>
      </c>
      <c r="E34" s="10" t="s">
        <v>197</v>
      </c>
      <c r="F34" s="10" t="s">
        <v>377</v>
      </c>
      <c r="G34" s="10" t="s">
        <v>378</v>
      </c>
    </row>
    <row r="35" spans="1:7" ht="28.8" x14ac:dyDescent="0.3">
      <c r="A35" s="10">
        <v>34</v>
      </c>
      <c r="B35" s="10" t="s">
        <v>376</v>
      </c>
      <c r="C35" s="10" t="s">
        <v>117</v>
      </c>
      <c r="D35" s="10" t="s">
        <v>201</v>
      </c>
      <c r="E35" s="10" t="s">
        <v>197</v>
      </c>
      <c r="F35" s="10" t="s">
        <v>377</v>
      </c>
      <c r="G35" s="10" t="s">
        <v>378</v>
      </c>
    </row>
    <row r="36" spans="1:7" ht="28.8" x14ac:dyDescent="0.3">
      <c r="A36" s="10">
        <v>35</v>
      </c>
      <c r="B36" s="10" t="s">
        <v>376</v>
      </c>
      <c r="C36" s="10" t="s">
        <v>118</v>
      </c>
      <c r="D36" s="10" t="s">
        <v>191</v>
      </c>
      <c r="E36" s="10" t="s">
        <v>192</v>
      </c>
      <c r="F36" s="10" t="s">
        <v>379</v>
      </c>
      <c r="G36" s="10" t="s">
        <v>380</v>
      </c>
    </row>
    <row r="37" spans="1:7" ht="28.8" x14ac:dyDescent="0.3">
      <c r="A37" s="10">
        <v>36</v>
      </c>
      <c r="B37" s="10" t="s">
        <v>376</v>
      </c>
      <c r="C37" s="10" t="s">
        <v>118</v>
      </c>
      <c r="D37" s="10" t="s">
        <v>202</v>
      </c>
      <c r="E37" s="10" t="s">
        <v>197</v>
      </c>
      <c r="F37" s="10" t="s">
        <v>379</v>
      </c>
      <c r="G37" s="10" t="s">
        <v>380</v>
      </c>
    </row>
    <row r="38" spans="1:7" ht="28.8" x14ac:dyDescent="0.3">
      <c r="A38" s="10">
        <v>37</v>
      </c>
      <c r="B38" s="10" t="s">
        <v>376</v>
      </c>
      <c r="C38" s="10" t="s">
        <v>118</v>
      </c>
      <c r="D38" s="10" t="s">
        <v>215</v>
      </c>
      <c r="E38" s="10" t="s">
        <v>201</v>
      </c>
      <c r="F38" s="10" t="s">
        <v>379</v>
      </c>
      <c r="G38" s="10" t="s">
        <v>380</v>
      </c>
    </row>
    <row r="39" spans="1:7" ht="28.8" x14ac:dyDescent="0.3">
      <c r="A39" s="10">
        <v>38</v>
      </c>
      <c r="B39" s="10" t="s">
        <v>376</v>
      </c>
      <c r="C39" s="10" t="s">
        <v>118</v>
      </c>
      <c r="D39" s="10" t="s">
        <v>203</v>
      </c>
      <c r="E39" s="10" t="s">
        <v>215</v>
      </c>
      <c r="F39" s="10" t="s">
        <v>379</v>
      </c>
      <c r="G39" s="10" t="s">
        <v>380</v>
      </c>
    </row>
    <row r="40" spans="1:7" ht="28.8" x14ac:dyDescent="0.3">
      <c r="A40" s="10">
        <v>39</v>
      </c>
      <c r="B40" s="10" t="s">
        <v>376</v>
      </c>
      <c r="C40" s="10" t="s">
        <v>118</v>
      </c>
      <c r="D40" s="10" t="s">
        <v>204</v>
      </c>
      <c r="E40" s="10" t="s">
        <v>203</v>
      </c>
      <c r="F40" s="10" t="s">
        <v>379</v>
      </c>
      <c r="G40" s="10" t="s">
        <v>380</v>
      </c>
    </row>
    <row r="41" spans="1:7" ht="28.8" x14ac:dyDescent="0.3">
      <c r="A41" s="10">
        <v>40</v>
      </c>
      <c r="B41" s="10" t="s">
        <v>376</v>
      </c>
      <c r="C41" s="10" t="s">
        <v>118</v>
      </c>
      <c r="D41" s="10" t="s">
        <v>205</v>
      </c>
      <c r="E41" s="10" t="s">
        <v>204</v>
      </c>
      <c r="F41" s="10" t="s">
        <v>379</v>
      </c>
      <c r="G41" s="10" t="s">
        <v>380</v>
      </c>
    </row>
    <row r="42" spans="1:7" ht="28.8" x14ac:dyDescent="0.3">
      <c r="A42" s="10">
        <v>41</v>
      </c>
      <c r="B42" s="10" t="s">
        <v>376</v>
      </c>
      <c r="C42" s="10" t="s">
        <v>118</v>
      </c>
      <c r="D42" s="10" t="s">
        <v>206</v>
      </c>
      <c r="E42" s="10" t="s">
        <v>204</v>
      </c>
      <c r="F42" s="10" t="s">
        <v>379</v>
      </c>
      <c r="G42" s="10" t="s">
        <v>380</v>
      </c>
    </row>
    <row r="43" spans="1:7" ht="28.8" x14ac:dyDescent="0.3">
      <c r="A43" s="10">
        <v>42</v>
      </c>
      <c r="B43" s="10" t="s">
        <v>376</v>
      </c>
      <c r="C43" s="10" t="s">
        <v>118</v>
      </c>
      <c r="D43" s="10" t="s">
        <v>207</v>
      </c>
      <c r="E43" s="10" t="s">
        <v>204</v>
      </c>
      <c r="F43" s="10" t="s">
        <v>379</v>
      </c>
      <c r="G43" s="10" t="s">
        <v>380</v>
      </c>
    </row>
    <row r="44" spans="1:7" ht="28.8" x14ac:dyDescent="0.3">
      <c r="A44" s="10">
        <v>43</v>
      </c>
      <c r="B44" s="10" t="s">
        <v>376</v>
      </c>
      <c r="C44" s="10" t="s">
        <v>118</v>
      </c>
      <c r="D44" s="10" t="s">
        <v>208</v>
      </c>
      <c r="E44" s="10" t="s">
        <v>204</v>
      </c>
      <c r="F44" s="10" t="s">
        <v>379</v>
      </c>
      <c r="G44" s="10" t="s">
        <v>380</v>
      </c>
    </row>
    <row r="45" spans="1:7" ht="28.8" x14ac:dyDescent="0.3">
      <c r="A45" s="10">
        <v>44</v>
      </c>
      <c r="B45" s="10" t="s">
        <v>376</v>
      </c>
      <c r="C45" s="10" t="s">
        <v>118</v>
      </c>
      <c r="D45" s="10" t="s">
        <v>209</v>
      </c>
      <c r="E45" s="10" t="s">
        <v>204</v>
      </c>
      <c r="F45" s="10" t="s">
        <v>379</v>
      </c>
      <c r="G45" s="10" t="s">
        <v>380</v>
      </c>
    </row>
    <row r="46" spans="1:7" ht="28.8" x14ac:dyDescent="0.3">
      <c r="A46" s="10">
        <v>45</v>
      </c>
      <c r="B46" s="10" t="s">
        <v>376</v>
      </c>
      <c r="C46" s="10" t="s">
        <v>118</v>
      </c>
      <c r="D46" s="10" t="s">
        <v>210</v>
      </c>
      <c r="E46" s="10" t="s">
        <v>205</v>
      </c>
      <c r="F46" s="10" t="s">
        <v>379</v>
      </c>
      <c r="G46" s="10" t="s">
        <v>380</v>
      </c>
    </row>
    <row r="47" spans="1:7" ht="28.8" x14ac:dyDescent="0.3">
      <c r="A47" s="10">
        <v>46</v>
      </c>
      <c r="B47" s="10" t="s">
        <v>376</v>
      </c>
      <c r="C47" s="10" t="s">
        <v>118</v>
      </c>
      <c r="D47" s="10" t="s">
        <v>211</v>
      </c>
      <c r="E47" s="10" t="s">
        <v>210</v>
      </c>
      <c r="F47" s="10" t="s">
        <v>379</v>
      </c>
      <c r="G47" s="10" t="s">
        <v>380</v>
      </c>
    </row>
    <row r="48" spans="1:7" ht="28.8" x14ac:dyDescent="0.3">
      <c r="A48" s="10">
        <v>47</v>
      </c>
      <c r="B48" s="10" t="s">
        <v>376</v>
      </c>
      <c r="C48" s="10" t="s">
        <v>118</v>
      </c>
      <c r="D48" s="10" t="s">
        <v>216</v>
      </c>
      <c r="E48" s="10" t="s">
        <v>203</v>
      </c>
      <c r="F48" s="10" t="s">
        <v>379</v>
      </c>
      <c r="G48" s="10" t="s">
        <v>380</v>
      </c>
    </row>
    <row r="49" spans="1:7" ht="28.8" x14ac:dyDescent="0.3">
      <c r="A49" s="10">
        <v>48</v>
      </c>
      <c r="B49" s="10" t="s">
        <v>376</v>
      </c>
      <c r="C49" s="10" t="s">
        <v>118</v>
      </c>
      <c r="D49" s="10" t="s">
        <v>217</v>
      </c>
      <c r="E49" s="10" t="s">
        <v>216</v>
      </c>
      <c r="F49" s="10" t="s">
        <v>379</v>
      </c>
      <c r="G49" s="10" t="s">
        <v>380</v>
      </c>
    </row>
    <row r="50" spans="1:7" ht="28.8" x14ac:dyDescent="0.3">
      <c r="A50" s="10">
        <v>49</v>
      </c>
      <c r="B50" s="10" t="s">
        <v>376</v>
      </c>
      <c r="C50" s="10" t="s">
        <v>118</v>
      </c>
      <c r="D50" s="10" t="s">
        <v>218</v>
      </c>
      <c r="E50" s="10" t="s">
        <v>204</v>
      </c>
      <c r="F50" s="10" t="s">
        <v>379</v>
      </c>
      <c r="G50" s="10" t="s">
        <v>380</v>
      </c>
    </row>
    <row r="51" spans="1:7" ht="28.8" x14ac:dyDescent="0.3">
      <c r="A51" s="10">
        <v>50</v>
      </c>
      <c r="B51" s="10" t="s">
        <v>376</v>
      </c>
      <c r="C51" s="10" t="s">
        <v>118</v>
      </c>
      <c r="D51" s="10" t="s">
        <v>219</v>
      </c>
      <c r="E51" s="10" t="s">
        <v>204</v>
      </c>
      <c r="F51" s="10" t="s">
        <v>379</v>
      </c>
      <c r="G51" s="10" t="s">
        <v>380</v>
      </c>
    </row>
    <row r="52" spans="1:7" ht="28.8" x14ac:dyDescent="0.3">
      <c r="A52" s="10">
        <v>51</v>
      </c>
      <c r="B52" s="10" t="s">
        <v>376</v>
      </c>
      <c r="C52" s="10" t="s">
        <v>118</v>
      </c>
      <c r="D52" s="10" t="s">
        <v>220</v>
      </c>
      <c r="E52" s="10" t="s">
        <v>216</v>
      </c>
      <c r="F52" s="10" t="s">
        <v>379</v>
      </c>
      <c r="G52" s="10" t="s">
        <v>380</v>
      </c>
    </row>
    <row r="53" spans="1:7" ht="28.8" x14ac:dyDescent="0.3">
      <c r="A53" s="10">
        <v>52</v>
      </c>
      <c r="B53" s="10" t="s">
        <v>376</v>
      </c>
      <c r="C53" s="10" t="s">
        <v>118</v>
      </c>
      <c r="D53" s="10" t="s">
        <v>221</v>
      </c>
      <c r="E53" s="10" t="s">
        <v>216</v>
      </c>
      <c r="F53" s="10" t="s">
        <v>379</v>
      </c>
      <c r="G53" s="10" t="s">
        <v>380</v>
      </c>
    </row>
    <row r="54" spans="1:7" ht="28.8" x14ac:dyDescent="0.3">
      <c r="A54" s="10">
        <v>53</v>
      </c>
      <c r="B54" s="10" t="s">
        <v>376</v>
      </c>
      <c r="C54" s="10" t="s">
        <v>118</v>
      </c>
      <c r="D54" s="10" t="s">
        <v>222</v>
      </c>
      <c r="E54" s="10" t="s">
        <v>216</v>
      </c>
      <c r="F54" s="10" t="s">
        <v>379</v>
      </c>
      <c r="G54" s="10" t="s">
        <v>380</v>
      </c>
    </row>
    <row r="55" spans="1:7" ht="28.8" x14ac:dyDescent="0.3">
      <c r="A55" s="10">
        <v>54</v>
      </c>
      <c r="B55" s="10" t="s">
        <v>381</v>
      </c>
      <c r="C55" s="10" t="s">
        <v>382</v>
      </c>
      <c r="F55" s="10" t="s">
        <v>383</v>
      </c>
      <c r="G55" s="10" t="s">
        <v>384</v>
      </c>
    </row>
    <row r="56" spans="1:7" ht="28.8" x14ac:dyDescent="0.3">
      <c r="A56" s="10">
        <v>55</v>
      </c>
      <c r="B56" s="10" t="s">
        <v>381</v>
      </c>
      <c r="C56" s="10" t="s">
        <v>117</v>
      </c>
      <c r="D56" s="10" t="s">
        <v>212</v>
      </c>
      <c r="F56" s="10" t="s">
        <v>385</v>
      </c>
      <c r="G56" s="10" t="s">
        <v>386</v>
      </c>
    </row>
    <row r="57" spans="1:7" ht="28.8" x14ac:dyDescent="0.3">
      <c r="A57" s="10">
        <v>56</v>
      </c>
      <c r="B57" s="10" t="s">
        <v>381</v>
      </c>
      <c r="C57" s="10" t="s">
        <v>117</v>
      </c>
      <c r="D57" s="10" t="s">
        <v>197</v>
      </c>
      <c r="E57" s="10" t="s">
        <v>194</v>
      </c>
      <c r="F57" s="10" t="s">
        <v>385</v>
      </c>
      <c r="G57" s="10" t="s">
        <v>386</v>
      </c>
    </row>
    <row r="58" spans="1:7" ht="28.8" x14ac:dyDescent="0.3">
      <c r="A58" s="10">
        <v>57</v>
      </c>
      <c r="B58" s="10" t="s">
        <v>381</v>
      </c>
      <c r="C58" s="10" t="s">
        <v>117</v>
      </c>
      <c r="D58" s="10" t="s">
        <v>198</v>
      </c>
      <c r="E58" s="10" t="s">
        <v>197</v>
      </c>
      <c r="F58" s="10" t="s">
        <v>385</v>
      </c>
      <c r="G58" s="10" t="s">
        <v>386</v>
      </c>
    </row>
    <row r="59" spans="1:7" ht="28.8" x14ac:dyDescent="0.3">
      <c r="A59" s="10">
        <v>58</v>
      </c>
      <c r="B59" s="10" t="s">
        <v>381</v>
      </c>
      <c r="C59" s="10" t="s">
        <v>117</v>
      </c>
      <c r="D59" s="10" t="s">
        <v>199</v>
      </c>
      <c r="E59" s="10" t="s">
        <v>197</v>
      </c>
      <c r="F59" s="10" t="s">
        <v>385</v>
      </c>
      <c r="G59" s="10" t="s">
        <v>386</v>
      </c>
    </row>
    <row r="60" spans="1:7" ht="28.8" x14ac:dyDescent="0.3">
      <c r="A60" s="10">
        <v>59</v>
      </c>
      <c r="B60" s="10" t="s">
        <v>381</v>
      </c>
      <c r="C60" s="10" t="s">
        <v>117</v>
      </c>
      <c r="D60" s="10" t="s">
        <v>200</v>
      </c>
      <c r="E60" s="10" t="s">
        <v>197</v>
      </c>
      <c r="F60" s="10" t="s">
        <v>385</v>
      </c>
      <c r="G60" s="10" t="s">
        <v>386</v>
      </c>
    </row>
    <row r="61" spans="1:7" ht="28.8" x14ac:dyDescent="0.3">
      <c r="A61" s="10">
        <v>60</v>
      </c>
      <c r="B61" s="10" t="s">
        <v>381</v>
      </c>
      <c r="C61" s="10" t="s">
        <v>117</v>
      </c>
      <c r="D61" s="10" t="s">
        <v>213</v>
      </c>
      <c r="E61" s="10" t="s">
        <v>197</v>
      </c>
      <c r="F61" s="10" t="s">
        <v>385</v>
      </c>
      <c r="G61" s="10" t="s">
        <v>386</v>
      </c>
    </row>
    <row r="62" spans="1:7" ht="28.8" x14ac:dyDescent="0.3">
      <c r="A62" s="10">
        <v>61</v>
      </c>
      <c r="B62" s="10" t="s">
        <v>381</v>
      </c>
      <c r="C62" s="10" t="s">
        <v>117</v>
      </c>
      <c r="D62" s="10" t="s">
        <v>214</v>
      </c>
      <c r="E62" s="10" t="s">
        <v>197</v>
      </c>
      <c r="F62" s="10" t="s">
        <v>385</v>
      </c>
      <c r="G62" s="10" t="s">
        <v>386</v>
      </c>
    </row>
    <row r="63" spans="1:7" ht="28.8" x14ac:dyDescent="0.3">
      <c r="A63" s="10">
        <v>62</v>
      </c>
      <c r="B63" s="10" t="s">
        <v>381</v>
      </c>
      <c r="C63" s="10" t="s">
        <v>117</v>
      </c>
      <c r="D63" s="10" t="s">
        <v>201</v>
      </c>
      <c r="E63" s="10" t="s">
        <v>197</v>
      </c>
      <c r="F63" s="10" t="s">
        <v>385</v>
      </c>
      <c r="G63" s="10" t="s">
        <v>386</v>
      </c>
    </row>
    <row r="64" spans="1:7" ht="28.8" x14ac:dyDescent="0.3">
      <c r="A64" s="10">
        <v>63</v>
      </c>
      <c r="B64" s="10" t="s">
        <v>381</v>
      </c>
      <c r="C64" s="10" t="s">
        <v>118</v>
      </c>
      <c r="D64" s="10" t="s">
        <v>191</v>
      </c>
      <c r="E64" s="10" t="s">
        <v>192</v>
      </c>
      <c r="F64" s="10" t="s">
        <v>387</v>
      </c>
      <c r="G64" s="10" t="s">
        <v>388</v>
      </c>
    </row>
    <row r="65" spans="1:7" ht="28.8" x14ac:dyDescent="0.3">
      <c r="A65" s="10">
        <v>64</v>
      </c>
      <c r="B65" s="10" t="s">
        <v>381</v>
      </c>
      <c r="C65" s="10" t="s">
        <v>118</v>
      </c>
      <c r="D65" s="10" t="s">
        <v>202</v>
      </c>
      <c r="E65" s="10" t="s">
        <v>197</v>
      </c>
      <c r="F65" s="10" t="s">
        <v>387</v>
      </c>
      <c r="G65" s="10" t="s">
        <v>388</v>
      </c>
    </row>
    <row r="66" spans="1:7" ht="28.8" x14ac:dyDescent="0.3">
      <c r="A66" s="10">
        <v>65</v>
      </c>
      <c r="B66" s="10" t="s">
        <v>381</v>
      </c>
      <c r="C66" s="10" t="s">
        <v>118</v>
      </c>
      <c r="D66" s="10" t="s">
        <v>215</v>
      </c>
      <c r="E66" s="10" t="s">
        <v>201</v>
      </c>
      <c r="F66" s="10" t="s">
        <v>387</v>
      </c>
      <c r="G66" s="10" t="s">
        <v>388</v>
      </c>
    </row>
    <row r="67" spans="1:7" ht="28.8" x14ac:dyDescent="0.3">
      <c r="A67" s="10">
        <v>66</v>
      </c>
      <c r="B67" s="10" t="s">
        <v>381</v>
      </c>
      <c r="C67" s="10" t="s">
        <v>118</v>
      </c>
      <c r="D67" s="10" t="s">
        <v>203</v>
      </c>
      <c r="E67" s="10" t="s">
        <v>215</v>
      </c>
      <c r="F67" s="10" t="s">
        <v>387</v>
      </c>
      <c r="G67" s="10" t="s">
        <v>388</v>
      </c>
    </row>
    <row r="68" spans="1:7" ht="28.8" x14ac:dyDescent="0.3">
      <c r="A68" s="10">
        <v>67</v>
      </c>
      <c r="B68" s="10" t="s">
        <v>381</v>
      </c>
      <c r="C68" s="10" t="s">
        <v>118</v>
      </c>
      <c r="D68" s="10" t="s">
        <v>204</v>
      </c>
      <c r="E68" s="10" t="s">
        <v>203</v>
      </c>
      <c r="F68" s="10" t="s">
        <v>387</v>
      </c>
      <c r="G68" s="10" t="s">
        <v>388</v>
      </c>
    </row>
    <row r="69" spans="1:7" ht="28.8" x14ac:dyDescent="0.3">
      <c r="A69" s="10">
        <v>68</v>
      </c>
      <c r="B69" s="10" t="s">
        <v>381</v>
      </c>
      <c r="C69" s="10" t="s">
        <v>118</v>
      </c>
      <c r="D69" s="10" t="s">
        <v>205</v>
      </c>
      <c r="E69" s="10" t="s">
        <v>204</v>
      </c>
      <c r="F69" s="10" t="s">
        <v>387</v>
      </c>
      <c r="G69" s="10" t="s">
        <v>388</v>
      </c>
    </row>
    <row r="70" spans="1:7" ht="28.8" x14ac:dyDescent="0.3">
      <c r="A70" s="10">
        <v>69</v>
      </c>
      <c r="B70" s="10" t="s">
        <v>381</v>
      </c>
      <c r="C70" s="10" t="s">
        <v>118</v>
      </c>
      <c r="D70" s="10" t="s">
        <v>206</v>
      </c>
      <c r="E70" s="10" t="s">
        <v>204</v>
      </c>
      <c r="F70" s="10" t="s">
        <v>387</v>
      </c>
      <c r="G70" s="10" t="s">
        <v>388</v>
      </c>
    </row>
    <row r="71" spans="1:7" ht="28.8" x14ac:dyDescent="0.3">
      <c r="A71" s="10">
        <v>70</v>
      </c>
      <c r="B71" s="10" t="s">
        <v>381</v>
      </c>
      <c r="C71" s="10" t="s">
        <v>118</v>
      </c>
      <c r="D71" s="10" t="s">
        <v>207</v>
      </c>
      <c r="E71" s="10" t="s">
        <v>204</v>
      </c>
      <c r="F71" s="10" t="s">
        <v>387</v>
      </c>
      <c r="G71" s="10" t="s">
        <v>388</v>
      </c>
    </row>
    <row r="72" spans="1:7" ht="28.8" x14ac:dyDescent="0.3">
      <c r="A72" s="10">
        <v>71</v>
      </c>
      <c r="B72" s="10" t="s">
        <v>381</v>
      </c>
      <c r="C72" s="10" t="s">
        <v>118</v>
      </c>
      <c r="D72" s="10" t="s">
        <v>208</v>
      </c>
      <c r="E72" s="10" t="s">
        <v>204</v>
      </c>
      <c r="F72" s="10" t="s">
        <v>387</v>
      </c>
      <c r="G72" s="10" t="s">
        <v>388</v>
      </c>
    </row>
    <row r="73" spans="1:7" ht="28.8" x14ac:dyDescent="0.3">
      <c r="A73" s="10">
        <v>72</v>
      </c>
      <c r="B73" s="10" t="s">
        <v>381</v>
      </c>
      <c r="C73" s="10" t="s">
        <v>118</v>
      </c>
      <c r="D73" s="10" t="s">
        <v>209</v>
      </c>
      <c r="E73" s="10" t="s">
        <v>204</v>
      </c>
      <c r="F73" s="10" t="s">
        <v>387</v>
      </c>
      <c r="G73" s="10" t="s">
        <v>388</v>
      </c>
    </row>
    <row r="74" spans="1:7" ht="28.8" x14ac:dyDescent="0.3">
      <c r="A74" s="10">
        <v>73</v>
      </c>
      <c r="B74" s="10" t="s">
        <v>381</v>
      </c>
      <c r="C74" s="10" t="s">
        <v>118</v>
      </c>
      <c r="D74" s="10" t="s">
        <v>223</v>
      </c>
      <c r="E74" s="10" t="s">
        <v>204</v>
      </c>
      <c r="F74" s="10" t="s">
        <v>387</v>
      </c>
      <c r="G74" s="10" t="s">
        <v>388</v>
      </c>
    </row>
    <row r="75" spans="1:7" ht="28.8" x14ac:dyDescent="0.3">
      <c r="A75" s="10">
        <v>74</v>
      </c>
      <c r="B75" s="10" t="s">
        <v>381</v>
      </c>
      <c r="C75" s="10" t="s">
        <v>118</v>
      </c>
      <c r="D75" s="10" t="s">
        <v>210</v>
      </c>
      <c r="E75" s="10" t="s">
        <v>205</v>
      </c>
      <c r="F75" s="10" t="s">
        <v>387</v>
      </c>
      <c r="G75" s="10" t="s">
        <v>388</v>
      </c>
    </row>
    <row r="76" spans="1:7" ht="28.8" x14ac:dyDescent="0.3">
      <c r="A76" s="10">
        <v>75</v>
      </c>
      <c r="B76" s="10" t="s">
        <v>381</v>
      </c>
      <c r="C76" s="10" t="s">
        <v>118</v>
      </c>
      <c r="D76" s="10" t="s">
        <v>211</v>
      </c>
      <c r="E76" s="10" t="s">
        <v>210</v>
      </c>
      <c r="F76" s="10" t="s">
        <v>387</v>
      </c>
      <c r="G76" s="10" t="s">
        <v>388</v>
      </c>
    </row>
    <row r="77" spans="1:7" ht="28.8" x14ac:dyDescent="0.3">
      <c r="A77" s="10">
        <v>76</v>
      </c>
      <c r="B77" s="10" t="s">
        <v>381</v>
      </c>
      <c r="C77" s="10" t="s">
        <v>118</v>
      </c>
      <c r="D77" s="10" t="s">
        <v>216</v>
      </c>
      <c r="E77" s="10" t="s">
        <v>203</v>
      </c>
      <c r="F77" s="10" t="s">
        <v>387</v>
      </c>
      <c r="G77" s="10" t="s">
        <v>388</v>
      </c>
    </row>
    <row r="78" spans="1:7" ht="28.8" x14ac:dyDescent="0.3">
      <c r="A78" s="10">
        <v>77</v>
      </c>
      <c r="B78" s="10" t="s">
        <v>381</v>
      </c>
      <c r="C78" s="10" t="s">
        <v>118</v>
      </c>
      <c r="D78" s="10" t="s">
        <v>217</v>
      </c>
      <c r="E78" s="10" t="s">
        <v>216</v>
      </c>
      <c r="F78" s="10" t="s">
        <v>387</v>
      </c>
      <c r="G78" s="10" t="s">
        <v>388</v>
      </c>
    </row>
    <row r="79" spans="1:7" ht="28.8" x14ac:dyDescent="0.3">
      <c r="A79" s="10">
        <v>78</v>
      </c>
      <c r="B79" s="10" t="s">
        <v>381</v>
      </c>
      <c r="C79" s="10" t="s">
        <v>118</v>
      </c>
      <c r="D79" s="10" t="s">
        <v>218</v>
      </c>
      <c r="E79" s="10" t="s">
        <v>204</v>
      </c>
      <c r="F79" s="10" t="s">
        <v>387</v>
      </c>
      <c r="G79" s="10" t="s">
        <v>388</v>
      </c>
    </row>
    <row r="80" spans="1:7" ht="28.8" x14ac:dyDescent="0.3">
      <c r="A80" s="10">
        <v>79</v>
      </c>
      <c r="B80" s="10" t="s">
        <v>381</v>
      </c>
      <c r="C80" s="10" t="s">
        <v>118</v>
      </c>
      <c r="D80" s="10" t="s">
        <v>219</v>
      </c>
      <c r="E80" s="10" t="s">
        <v>204</v>
      </c>
      <c r="F80" s="10" t="s">
        <v>387</v>
      </c>
      <c r="G80" s="10" t="s">
        <v>388</v>
      </c>
    </row>
    <row r="81" spans="1:7" ht="28.8" x14ac:dyDescent="0.3">
      <c r="A81" s="10">
        <v>80</v>
      </c>
      <c r="B81" s="10" t="s">
        <v>381</v>
      </c>
      <c r="C81" s="10" t="s">
        <v>118</v>
      </c>
      <c r="D81" s="10" t="s">
        <v>220</v>
      </c>
      <c r="E81" s="10" t="s">
        <v>216</v>
      </c>
      <c r="F81" s="10" t="s">
        <v>387</v>
      </c>
      <c r="G81" s="10" t="s">
        <v>388</v>
      </c>
    </row>
    <row r="82" spans="1:7" ht="28.8" x14ac:dyDescent="0.3">
      <c r="A82" s="10">
        <v>81</v>
      </c>
      <c r="B82" s="10" t="s">
        <v>381</v>
      </c>
      <c r="C82" s="10" t="s">
        <v>118</v>
      </c>
      <c r="D82" s="10" t="s">
        <v>221</v>
      </c>
      <c r="E82" s="10" t="s">
        <v>216</v>
      </c>
      <c r="F82" s="10" t="s">
        <v>387</v>
      </c>
      <c r="G82" s="10" t="s">
        <v>388</v>
      </c>
    </row>
    <row r="83" spans="1:7" ht="28.8" x14ac:dyDescent="0.3">
      <c r="A83" s="10">
        <v>82</v>
      </c>
      <c r="B83" s="10" t="s">
        <v>381</v>
      </c>
      <c r="C83" s="10" t="s">
        <v>118</v>
      </c>
      <c r="D83" s="10" t="s">
        <v>222</v>
      </c>
      <c r="E83" s="10" t="s">
        <v>216</v>
      </c>
      <c r="F83" s="10" t="s">
        <v>387</v>
      </c>
      <c r="G83" s="10" t="s">
        <v>388</v>
      </c>
    </row>
    <row r="84" spans="1:7" ht="43.2" x14ac:dyDescent="0.3">
      <c r="A84" s="10">
        <v>83</v>
      </c>
      <c r="B84" s="10" t="s">
        <v>389</v>
      </c>
      <c r="C84" s="10" t="s">
        <v>117</v>
      </c>
      <c r="D84" s="10" t="s">
        <v>212</v>
      </c>
      <c r="F84" s="10" t="s">
        <v>390</v>
      </c>
      <c r="G84" s="10" t="s">
        <v>391</v>
      </c>
    </row>
    <row r="85" spans="1:7" ht="43.2" x14ac:dyDescent="0.3">
      <c r="A85" s="10">
        <v>84</v>
      </c>
      <c r="B85" s="10" t="s">
        <v>389</v>
      </c>
      <c r="C85" s="10" t="s">
        <v>117</v>
      </c>
      <c r="D85" s="10" t="s">
        <v>197</v>
      </c>
      <c r="E85" s="10" t="s">
        <v>194</v>
      </c>
      <c r="F85" s="10" t="s">
        <v>390</v>
      </c>
      <c r="G85" s="10" t="s">
        <v>391</v>
      </c>
    </row>
    <row r="86" spans="1:7" ht="43.2" x14ac:dyDescent="0.3">
      <c r="A86" s="10">
        <v>85</v>
      </c>
      <c r="B86" s="10" t="s">
        <v>389</v>
      </c>
      <c r="C86" s="10" t="s">
        <v>117</v>
      </c>
      <c r="D86" s="10" t="s">
        <v>198</v>
      </c>
      <c r="E86" s="10" t="s">
        <v>197</v>
      </c>
      <c r="F86" s="10" t="s">
        <v>390</v>
      </c>
      <c r="G86" s="10" t="s">
        <v>391</v>
      </c>
    </row>
    <row r="87" spans="1:7" ht="43.2" x14ac:dyDescent="0.3">
      <c r="A87" s="10">
        <v>86</v>
      </c>
      <c r="B87" s="10" t="s">
        <v>389</v>
      </c>
      <c r="C87" s="10" t="s">
        <v>117</v>
      </c>
      <c r="D87" s="10" t="s">
        <v>199</v>
      </c>
      <c r="E87" s="10" t="s">
        <v>197</v>
      </c>
      <c r="F87" s="10" t="s">
        <v>390</v>
      </c>
      <c r="G87" s="10" t="s">
        <v>391</v>
      </c>
    </row>
    <row r="88" spans="1:7" ht="43.2" x14ac:dyDescent="0.3">
      <c r="A88" s="10">
        <v>87</v>
      </c>
      <c r="B88" s="10" t="s">
        <v>389</v>
      </c>
      <c r="C88" s="10" t="s">
        <v>117</v>
      </c>
      <c r="D88" s="10" t="s">
        <v>200</v>
      </c>
      <c r="E88" s="10" t="s">
        <v>197</v>
      </c>
      <c r="F88" s="10" t="s">
        <v>390</v>
      </c>
      <c r="G88" s="10" t="s">
        <v>391</v>
      </c>
    </row>
    <row r="89" spans="1:7" ht="43.2" x14ac:dyDescent="0.3">
      <c r="A89" s="10">
        <v>88</v>
      </c>
      <c r="B89" s="10" t="s">
        <v>389</v>
      </c>
      <c r="C89" s="10" t="s">
        <v>117</v>
      </c>
      <c r="D89" s="10" t="s">
        <v>213</v>
      </c>
      <c r="E89" s="10" t="s">
        <v>197</v>
      </c>
      <c r="F89" s="10" t="s">
        <v>390</v>
      </c>
      <c r="G89" s="10" t="s">
        <v>391</v>
      </c>
    </row>
    <row r="90" spans="1:7" ht="43.2" x14ac:dyDescent="0.3">
      <c r="A90" s="10">
        <v>89</v>
      </c>
      <c r="B90" s="10" t="s">
        <v>389</v>
      </c>
      <c r="C90" s="10" t="s">
        <v>117</v>
      </c>
      <c r="D90" s="10" t="s">
        <v>214</v>
      </c>
      <c r="E90" s="10" t="s">
        <v>197</v>
      </c>
      <c r="F90" s="10" t="s">
        <v>390</v>
      </c>
      <c r="G90" s="10" t="s">
        <v>391</v>
      </c>
    </row>
    <row r="91" spans="1:7" ht="43.2" x14ac:dyDescent="0.3">
      <c r="A91" s="10">
        <v>90</v>
      </c>
      <c r="B91" s="10" t="s">
        <v>389</v>
      </c>
      <c r="C91" s="10" t="s">
        <v>117</v>
      </c>
      <c r="D91" s="10" t="s">
        <v>230</v>
      </c>
      <c r="E91" s="10" t="s">
        <v>197</v>
      </c>
      <c r="F91" s="10" t="s">
        <v>390</v>
      </c>
      <c r="G91" s="10" t="s">
        <v>391</v>
      </c>
    </row>
    <row r="92" spans="1:7" ht="43.2" x14ac:dyDescent="0.3">
      <c r="A92" s="10">
        <v>91</v>
      </c>
      <c r="B92" s="10" t="s">
        <v>389</v>
      </c>
      <c r="C92" s="10" t="s">
        <v>117</v>
      </c>
      <c r="D92" s="10" t="s">
        <v>201</v>
      </c>
      <c r="E92" s="10" t="s">
        <v>230</v>
      </c>
      <c r="F92" s="10" t="s">
        <v>390</v>
      </c>
      <c r="G92" s="10" t="s">
        <v>391</v>
      </c>
    </row>
    <row r="93" spans="1:7" ht="43.2" x14ac:dyDescent="0.3">
      <c r="A93" s="10">
        <v>92</v>
      </c>
      <c r="B93" s="10" t="s">
        <v>389</v>
      </c>
      <c r="C93" s="10" t="s">
        <v>118</v>
      </c>
      <c r="D93" s="10" t="s">
        <v>231</v>
      </c>
      <c r="E93" s="10" t="s">
        <v>192</v>
      </c>
      <c r="F93" s="10" t="s">
        <v>392</v>
      </c>
      <c r="G93" s="10" t="s">
        <v>393</v>
      </c>
    </row>
    <row r="94" spans="1:7" ht="43.2" x14ac:dyDescent="0.3">
      <c r="A94" s="10">
        <v>93</v>
      </c>
      <c r="B94" s="10" t="s">
        <v>389</v>
      </c>
      <c r="C94" s="10" t="s">
        <v>118</v>
      </c>
      <c r="D94" s="10" t="s">
        <v>202</v>
      </c>
      <c r="E94" s="10" t="s">
        <v>197</v>
      </c>
      <c r="F94" s="10" t="s">
        <v>392</v>
      </c>
      <c r="G94" s="10" t="s">
        <v>393</v>
      </c>
    </row>
    <row r="95" spans="1:7" ht="43.2" x14ac:dyDescent="0.3">
      <c r="A95" s="10">
        <v>94</v>
      </c>
      <c r="B95" s="10" t="s">
        <v>389</v>
      </c>
      <c r="C95" s="10" t="s">
        <v>118</v>
      </c>
      <c r="D95" s="10" t="s">
        <v>215</v>
      </c>
      <c r="E95" s="10" t="s">
        <v>201</v>
      </c>
      <c r="F95" s="10" t="s">
        <v>392</v>
      </c>
      <c r="G95" s="10" t="s">
        <v>393</v>
      </c>
    </row>
    <row r="96" spans="1:7" ht="43.2" x14ac:dyDescent="0.3">
      <c r="A96" s="10">
        <v>95</v>
      </c>
      <c r="B96" s="10" t="s">
        <v>389</v>
      </c>
      <c r="C96" s="10" t="s">
        <v>118</v>
      </c>
      <c r="D96" s="10" t="s">
        <v>203</v>
      </c>
      <c r="E96" s="10" t="s">
        <v>215</v>
      </c>
      <c r="F96" s="10" t="s">
        <v>392</v>
      </c>
      <c r="G96" s="10" t="s">
        <v>393</v>
      </c>
    </row>
    <row r="97" spans="1:7" ht="43.2" x14ac:dyDescent="0.3">
      <c r="A97" s="10">
        <v>96</v>
      </c>
      <c r="B97" s="10" t="s">
        <v>389</v>
      </c>
      <c r="C97" s="10" t="s">
        <v>118</v>
      </c>
      <c r="D97" s="10" t="s">
        <v>204</v>
      </c>
      <c r="E97" s="10" t="s">
        <v>203</v>
      </c>
      <c r="F97" s="10" t="s">
        <v>392</v>
      </c>
      <c r="G97" s="10" t="s">
        <v>393</v>
      </c>
    </row>
    <row r="98" spans="1:7" ht="43.2" x14ac:dyDescent="0.3">
      <c r="A98" s="10">
        <v>97</v>
      </c>
      <c r="B98" s="10" t="s">
        <v>389</v>
      </c>
      <c r="C98" s="10" t="s">
        <v>118</v>
      </c>
      <c r="D98" s="10" t="s">
        <v>205</v>
      </c>
      <c r="E98" s="10" t="s">
        <v>204</v>
      </c>
      <c r="F98" s="10" t="s">
        <v>392</v>
      </c>
      <c r="G98" s="10" t="s">
        <v>393</v>
      </c>
    </row>
    <row r="99" spans="1:7" ht="43.2" x14ac:dyDescent="0.3">
      <c r="A99" s="10">
        <v>98</v>
      </c>
      <c r="B99" s="10" t="s">
        <v>389</v>
      </c>
      <c r="C99" s="10" t="s">
        <v>118</v>
      </c>
      <c r="D99" s="10" t="s">
        <v>206</v>
      </c>
      <c r="E99" s="10" t="s">
        <v>204</v>
      </c>
      <c r="F99" s="10" t="s">
        <v>392</v>
      </c>
      <c r="G99" s="10" t="s">
        <v>393</v>
      </c>
    </row>
    <row r="100" spans="1:7" ht="43.2" x14ac:dyDescent="0.3">
      <c r="A100" s="10">
        <v>99</v>
      </c>
      <c r="B100" s="10" t="s">
        <v>389</v>
      </c>
      <c r="C100" s="10" t="s">
        <v>118</v>
      </c>
      <c r="D100" s="10" t="s">
        <v>207</v>
      </c>
      <c r="E100" s="10" t="s">
        <v>204</v>
      </c>
      <c r="F100" s="10" t="s">
        <v>392</v>
      </c>
      <c r="G100" s="10" t="s">
        <v>393</v>
      </c>
    </row>
    <row r="101" spans="1:7" ht="43.2" x14ac:dyDescent="0.3">
      <c r="A101" s="10">
        <v>100</v>
      </c>
      <c r="B101" s="10" t="s">
        <v>389</v>
      </c>
      <c r="C101" s="10" t="s">
        <v>118</v>
      </c>
      <c r="D101" s="10" t="s">
        <v>208</v>
      </c>
      <c r="E101" s="10" t="s">
        <v>204</v>
      </c>
      <c r="F101" s="10" t="s">
        <v>392</v>
      </c>
      <c r="G101" s="10" t="s">
        <v>393</v>
      </c>
    </row>
    <row r="102" spans="1:7" ht="43.2" x14ac:dyDescent="0.3">
      <c r="A102" s="10">
        <v>101</v>
      </c>
      <c r="B102" s="10" t="s">
        <v>389</v>
      </c>
      <c r="C102" s="10" t="s">
        <v>118</v>
      </c>
      <c r="D102" s="10" t="s">
        <v>209</v>
      </c>
      <c r="E102" s="10" t="s">
        <v>204</v>
      </c>
      <c r="F102" s="10" t="s">
        <v>392</v>
      </c>
      <c r="G102" s="10" t="s">
        <v>393</v>
      </c>
    </row>
    <row r="103" spans="1:7" ht="43.2" x14ac:dyDescent="0.3">
      <c r="A103" s="10">
        <v>102</v>
      </c>
      <c r="B103" s="10" t="s">
        <v>389</v>
      </c>
      <c r="C103" s="10" t="s">
        <v>118</v>
      </c>
      <c r="D103" s="10" t="s">
        <v>223</v>
      </c>
      <c r="E103" s="10" t="s">
        <v>204</v>
      </c>
      <c r="F103" s="10" t="s">
        <v>392</v>
      </c>
      <c r="G103" s="10" t="s">
        <v>393</v>
      </c>
    </row>
    <row r="104" spans="1:7" ht="43.2" x14ac:dyDescent="0.3">
      <c r="A104" s="10">
        <v>103</v>
      </c>
      <c r="B104" s="10" t="s">
        <v>389</v>
      </c>
      <c r="C104" s="10" t="s">
        <v>118</v>
      </c>
      <c r="D104" s="10" t="s">
        <v>210</v>
      </c>
      <c r="E104" s="10" t="s">
        <v>205</v>
      </c>
      <c r="F104" s="10" t="s">
        <v>392</v>
      </c>
      <c r="G104" s="10" t="s">
        <v>393</v>
      </c>
    </row>
    <row r="105" spans="1:7" ht="43.2" x14ac:dyDescent="0.3">
      <c r="A105" s="10">
        <v>104</v>
      </c>
      <c r="B105" s="10" t="s">
        <v>389</v>
      </c>
      <c r="C105" s="10" t="s">
        <v>118</v>
      </c>
      <c r="D105" s="10" t="s">
        <v>211</v>
      </c>
      <c r="E105" s="10" t="s">
        <v>210</v>
      </c>
      <c r="F105" s="10" t="s">
        <v>392</v>
      </c>
      <c r="G105" s="10" t="s">
        <v>393</v>
      </c>
    </row>
    <row r="106" spans="1:7" ht="43.2" x14ac:dyDescent="0.3">
      <c r="A106" s="10">
        <v>105</v>
      </c>
      <c r="B106" s="10" t="s">
        <v>389</v>
      </c>
      <c r="C106" s="10" t="s">
        <v>118</v>
      </c>
      <c r="D106" s="10" t="s">
        <v>216</v>
      </c>
      <c r="E106" s="10" t="s">
        <v>203</v>
      </c>
      <c r="F106" s="10" t="s">
        <v>392</v>
      </c>
      <c r="G106" s="10" t="s">
        <v>393</v>
      </c>
    </row>
    <row r="107" spans="1:7" ht="43.2" x14ac:dyDescent="0.3">
      <c r="A107" s="10">
        <v>106</v>
      </c>
      <c r="B107" s="10" t="s">
        <v>389</v>
      </c>
      <c r="C107" s="10" t="s">
        <v>118</v>
      </c>
      <c r="D107" s="10" t="s">
        <v>217</v>
      </c>
      <c r="E107" s="10" t="s">
        <v>216</v>
      </c>
      <c r="F107" s="10" t="s">
        <v>392</v>
      </c>
      <c r="G107" s="10" t="s">
        <v>393</v>
      </c>
    </row>
    <row r="108" spans="1:7" ht="43.2" x14ac:dyDescent="0.3">
      <c r="A108" s="10">
        <v>107</v>
      </c>
      <c r="B108" s="10" t="s">
        <v>389</v>
      </c>
      <c r="C108" s="10" t="s">
        <v>118</v>
      </c>
      <c r="D108" s="10" t="s">
        <v>218</v>
      </c>
      <c r="E108" s="10" t="s">
        <v>204</v>
      </c>
      <c r="F108" s="10" t="s">
        <v>392</v>
      </c>
      <c r="G108" s="10" t="s">
        <v>393</v>
      </c>
    </row>
    <row r="109" spans="1:7" ht="43.2" x14ac:dyDescent="0.3">
      <c r="A109" s="10">
        <v>108</v>
      </c>
      <c r="B109" s="10" t="s">
        <v>389</v>
      </c>
      <c r="C109" s="10" t="s">
        <v>118</v>
      </c>
      <c r="D109" s="10" t="s">
        <v>219</v>
      </c>
      <c r="E109" s="10" t="s">
        <v>204</v>
      </c>
      <c r="F109" s="10" t="s">
        <v>392</v>
      </c>
      <c r="G109" s="10" t="s">
        <v>393</v>
      </c>
    </row>
    <row r="110" spans="1:7" ht="43.2" x14ac:dyDescent="0.3">
      <c r="A110" s="10">
        <v>109</v>
      </c>
      <c r="B110" s="10" t="s">
        <v>389</v>
      </c>
      <c r="C110" s="10" t="s">
        <v>118</v>
      </c>
      <c r="D110" s="10" t="s">
        <v>220</v>
      </c>
      <c r="E110" s="10" t="s">
        <v>216</v>
      </c>
      <c r="F110" s="10" t="s">
        <v>392</v>
      </c>
      <c r="G110" s="10" t="s">
        <v>393</v>
      </c>
    </row>
    <row r="111" spans="1:7" ht="43.2" x14ac:dyDescent="0.3">
      <c r="A111" s="10">
        <v>110</v>
      </c>
      <c r="B111" s="10" t="s">
        <v>389</v>
      </c>
      <c r="C111" s="10" t="s">
        <v>118</v>
      </c>
      <c r="D111" s="10" t="s">
        <v>221</v>
      </c>
      <c r="E111" s="10" t="s">
        <v>216</v>
      </c>
      <c r="F111" s="10" t="s">
        <v>392</v>
      </c>
      <c r="G111" s="10" t="s">
        <v>393</v>
      </c>
    </row>
    <row r="112" spans="1:7" ht="43.2" x14ac:dyDescent="0.3">
      <c r="A112" s="10">
        <v>111</v>
      </c>
      <c r="B112" s="10" t="s">
        <v>389</v>
      </c>
      <c r="C112" s="10" t="s">
        <v>118</v>
      </c>
      <c r="D112" s="10" t="s">
        <v>222</v>
      </c>
      <c r="E112" s="10" t="s">
        <v>216</v>
      </c>
      <c r="F112" s="10" t="s">
        <v>392</v>
      </c>
      <c r="G112" s="10" t="s">
        <v>393</v>
      </c>
    </row>
    <row r="113" spans="1:7" ht="43.2" x14ac:dyDescent="0.3">
      <c r="A113" s="10">
        <v>112</v>
      </c>
      <c r="B113" s="10" t="s">
        <v>389</v>
      </c>
      <c r="C113" s="10" t="s">
        <v>118</v>
      </c>
      <c r="D113" s="10" t="s">
        <v>232</v>
      </c>
      <c r="E113" s="10" t="s">
        <v>230</v>
      </c>
      <c r="F113" s="10" t="s">
        <v>392</v>
      </c>
      <c r="G113" s="10" t="s">
        <v>393</v>
      </c>
    </row>
    <row r="114" spans="1:7" ht="43.2" x14ac:dyDescent="0.3">
      <c r="A114" s="10">
        <v>113</v>
      </c>
      <c r="B114" s="10" t="s">
        <v>389</v>
      </c>
      <c r="C114" s="10" t="s">
        <v>118</v>
      </c>
      <c r="D114" s="10" t="s">
        <v>233</v>
      </c>
      <c r="E114" s="10" t="s">
        <v>216</v>
      </c>
      <c r="F114" s="10" t="s">
        <v>392</v>
      </c>
      <c r="G114" s="10" t="s">
        <v>393</v>
      </c>
    </row>
    <row r="115" spans="1:7" ht="43.2" x14ac:dyDescent="0.3">
      <c r="A115" s="10">
        <v>114</v>
      </c>
      <c r="B115" s="10" t="s">
        <v>389</v>
      </c>
      <c r="C115" s="10" t="s">
        <v>118</v>
      </c>
      <c r="D115" s="10" t="s">
        <v>234</v>
      </c>
      <c r="E115" s="10" t="s">
        <v>204</v>
      </c>
      <c r="F115" s="10" t="s">
        <v>392</v>
      </c>
      <c r="G115" s="10" t="s">
        <v>393</v>
      </c>
    </row>
    <row r="116" spans="1:7" ht="43.2" x14ac:dyDescent="0.3">
      <c r="A116" s="10">
        <v>115</v>
      </c>
      <c r="B116" s="10" t="s">
        <v>389</v>
      </c>
      <c r="C116" s="10" t="s">
        <v>118</v>
      </c>
      <c r="D116" s="10" t="s">
        <v>235</v>
      </c>
      <c r="E116" s="10" t="s">
        <v>216</v>
      </c>
      <c r="F116" s="10" t="s">
        <v>392</v>
      </c>
      <c r="G116" s="10" t="s">
        <v>393</v>
      </c>
    </row>
    <row r="117" spans="1:7" ht="43.2" x14ac:dyDescent="0.3">
      <c r="A117" s="10">
        <v>116</v>
      </c>
      <c r="B117" s="10" t="s">
        <v>389</v>
      </c>
      <c r="C117" s="10" t="s">
        <v>118</v>
      </c>
      <c r="D117" s="10" t="s">
        <v>236</v>
      </c>
      <c r="E117" s="10" t="s">
        <v>216</v>
      </c>
      <c r="F117" s="10" t="s">
        <v>392</v>
      </c>
      <c r="G117" s="10" t="s">
        <v>393</v>
      </c>
    </row>
    <row r="118" spans="1:7" ht="43.2" x14ac:dyDescent="0.3">
      <c r="A118" s="10">
        <v>117</v>
      </c>
      <c r="B118" s="10" t="s">
        <v>389</v>
      </c>
      <c r="C118" s="10" t="s">
        <v>116</v>
      </c>
      <c r="D118" s="10" t="s">
        <v>191</v>
      </c>
      <c r="E118" s="10" t="s">
        <v>192</v>
      </c>
      <c r="F118" s="10" t="s">
        <v>394</v>
      </c>
      <c r="G118" s="10" t="s">
        <v>395</v>
      </c>
    </row>
    <row r="119" spans="1:7" ht="43.2" x14ac:dyDescent="0.3">
      <c r="A119" s="10">
        <v>118</v>
      </c>
      <c r="B119" s="10" t="s">
        <v>389</v>
      </c>
      <c r="C119" s="10" t="s">
        <v>116</v>
      </c>
      <c r="D119" s="10" t="s">
        <v>193</v>
      </c>
      <c r="E119" s="10" t="s">
        <v>194</v>
      </c>
      <c r="F119" s="10" t="s">
        <v>394</v>
      </c>
      <c r="G119" s="10" t="s">
        <v>395</v>
      </c>
    </row>
    <row r="120" spans="1:7" ht="43.2" x14ac:dyDescent="0.3">
      <c r="A120" s="10">
        <v>119</v>
      </c>
      <c r="B120" s="10" t="s">
        <v>389</v>
      </c>
      <c r="C120" s="10" t="s">
        <v>116</v>
      </c>
      <c r="D120" s="10" t="s">
        <v>195</v>
      </c>
      <c r="E120" s="10" t="s">
        <v>194</v>
      </c>
      <c r="F120" s="10" t="s">
        <v>394</v>
      </c>
      <c r="G120" s="10" t="s">
        <v>395</v>
      </c>
    </row>
    <row r="121" spans="1:7" ht="43.2" x14ac:dyDescent="0.3">
      <c r="A121" s="10">
        <v>120</v>
      </c>
      <c r="B121" s="10" t="s">
        <v>389</v>
      </c>
      <c r="C121" s="10" t="s">
        <v>116</v>
      </c>
      <c r="D121" s="10" t="s">
        <v>224</v>
      </c>
      <c r="E121" s="10" t="s">
        <v>194</v>
      </c>
      <c r="F121" s="10" t="s">
        <v>394</v>
      </c>
      <c r="G121" s="10" t="s">
        <v>395</v>
      </c>
    </row>
    <row r="122" spans="1:7" ht="43.2" x14ac:dyDescent="0.3">
      <c r="A122" s="10">
        <v>121</v>
      </c>
      <c r="B122" s="10" t="s">
        <v>389</v>
      </c>
      <c r="C122" s="10" t="s">
        <v>116</v>
      </c>
      <c r="D122" s="10" t="s">
        <v>225</v>
      </c>
      <c r="F122" s="10" t="s">
        <v>394</v>
      </c>
      <c r="G122" s="10" t="s">
        <v>395</v>
      </c>
    </row>
    <row r="123" spans="1:7" ht="43.2" x14ac:dyDescent="0.3">
      <c r="A123" s="10">
        <v>122</v>
      </c>
      <c r="B123" s="10" t="s">
        <v>389</v>
      </c>
      <c r="C123" s="10" t="s">
        <v>116</v>
      </c>
      <c r="D123" s="10" t="s">
        <v>196</v>
      </c>
      <c r="E123" s="10" t="s">
        <v>194</v>
      </c>
      <c r="F123" s="10" t="s">
        <v>394</v>
      </c>
      <c r="G123" s="10" t="s">
        <v>395</v>
      </c>
    </row>
    <row r="124" spans="1:7" ht="43.2" x14ac:dyDescent="0.3">
      <c r="A124" s="10">
        <v>123</v>
      </c>
      <c r="B124" s="10" t="s">
        <v>389</v>
      </c>
      <c r="C124" s="10" t="s">
        <v>116</v>
      </c>
      <c r="D124" s="10" t="s">
        <v>226</v>
      </c>
      <c r="E124" s="10" t="s">
        <v>194</v>
      </c>
      <c r="F124" s="10" t="s">
        <v>394</v>
      </c>
      <c r="G124" s="10" t="s">
        <v>395</v>
      </c>
    </row>
    <row r="125" spans="1:7" ht="43.2" x14ac:dyDescent="0.3">
      <c r="A125" s="10">
        <v>124</v>
      </c>
      <c r="B125" s="10" t="s">
        <v>389</v>
      </c>
      <c r="C125" s="10" t="s">
        <v>116</v>
      </c>
      <c r="D125" s="10" t="s">
        <v>227</v>
      </c>
      <c r="E125" s="10" t="s">
        <v>194</v>
      </c>
      <c r="F125" s="10" t="s">
        <v>394</v>
      </c>
      <c r="G125" s="10" t="s">
        <v>395</v>
      </c>
    </row>
    <row r="126" spans="1:7" ht="43.2" x14ac:dyDescent="0.3">
      <c r="A126" s="10">
        <v>125</v>
      </c>
      <c r="B126" s="10" t="s">
        <v>389</v>
      </c>
      <c r="C126" s="10" t="s">
        <v>116</v>
      </c>
      <c r="D126" s="10" t="s">
        <v>228</v>
      </c>
      <c r="E126" s="10" t="s">
        <v>194</v>
      </c>
      <c r="F126" s="10" t="s">
        <v>394</v>
      </c>
      <c r="G126" s="10" t="s">
        <v>395</v>
      </c>
    </row>
    <row r="127" spans="1:7" ht="43.2" x14ac:dyDescent="0.3">
      <c r="A127" s="10">
        <v>126</v>
      </c>
      <c r="B127" s="10" t="s">
        <v>389</v>
      </c>
      <c r="C127" s="10" t="s">
        <v>116</v>
      </c>
      <c r="D127" s="10" t="s">
        <v>229</v>
      </c>
      <c r="E127" s="10" t="s">
        <v>228</v>
      </c>
      <c r="F127" s="10" t="s">
        <v>394</v>
      </c>
      <c r="G127" s="10" t="s">
        <v>395</v>
      </c>
    </row>
    <row r="128" spans="1:7" ht="28.8" x14ac:dyDescent="0.3">
      <c r="A128" s="10">
        <v>127</v>
      </c>
      <c r="B128" s="10" t="s">
        <v>396</v>
      </c>
      <c r="C128" s="10" t="s">
        <v>117</v>
      </c>
      <c r="D128" s="10" t="s">
        <v>212</v>
      </c>
      <c r="F128" s="10" t="s">
        <v>397</v>
      </c>
      <c r="G128" s="10" t="s">
        <v>398</v>
      </c>
    </row>
    <row r="129" spans="1:7" ht="28.8" x14ac:dyDescent="0.3">
      <c r="A129" s="10">
        <v>128</v>
      </c>
      <c r="B129" s="10" t="s">
        <v>396</v>
      </c>
      <c r="C129" s="10" t="s">
        <v>117</v>
      </c>
      <c r="D129" s="10" t="s">
        <v>197</v>
      </c>
      <c r="E129" s="10" t="s">
        <v>194</v>
      </c>
      <c r="F129" s="10" t="s">
        <v>397</v>
      </c>
      <c r="G129" s="10" t="s">
        <v>398</v>
      </c>
    </row>
    <row r="130" spans="1:7" ht="28.8" x14ac:dyDescent="0.3">
      <c r="A130" s="10">
        <v>129</v>
      </c>
      <c r="B130" s="10" t="s">
        <v>396</v>
      </c>
      <c r="C130" s="10" t="s">
        <v>117</v>
      </c>
      <c r="D130" s="10" t="s">
        <v>198</v>
      </c>
      <c r="E130" s="10" t="s">
        <v>197</v>
      </c>
      <c r="F130" s="10" t="s">
        <v>397</v>
      </c>
      <c r="G130" s="10" t="s">
        <v>398</v>
      </c>
    </row>
    <row r="131" spans="1:7" ht="28.8" x14ac:dyDescent="0.3">
      <c r="A131" s="10">
        <v>130</v>
      </c>
      <c r="B131" s="10" t="s">
        <v>396</v>
      </c>
      <c r="C131" s="10" t="s">
        <v>117</v>
      </c>
      <c r="D131" s="10" t="s">
        <v>199</v>
      </c>
      <c r="E131" s="10" t="s">
        <v>197</v>
      </c>
      <c r="F131" s="10" t="s">
        <v>397</v>
      </c>
      <c r="G131" s="10" t="s">
        <v>398</v>
      </c>
    </row>
    <row r="132" spans="1:7" ht="28.8" x14ac:dyDescent="0.3">
      <c r="A132" s="10">
        <v>131</v>
      </c>
      <c r="B132" s="10" t="s">
        <v>396</v>
      </c>
      <c r="C132" s="10" t="s">
        <v>117</v>
      </c>
      <c r="D132" s="10" t="s">
        <v>200</v>
      </c>
      <c r="E132" s="10" t="s">
        <v>197</v>
      </c>
      <c r="F132" s="10" t="s">
        <v>397</v>
      </c>
      <c r="G132" s="10" t="s">
        <v>398</v>
      </c>
    </row>
    <row r="133" spans="1:7" ht="28.8" x14ac:dyDescent="0.3">
      <c r="A133" s="10">
        <v>132</v>
      </c>
      <c r="B133" s="10" t="s">
        <v>396</v>
      </c>
      <c r="C133" s="10" t="s">
        <v>117</v>
      </c>
      <c r="D133" s="10" t="s">
        <v>213</v>
      </c>
      <c r="E133" s="10" t="s">
        <v>197</v>
      </c>
      <c r="F133" s="10" t="s">
        <v>397</v>
      </c>
      <c r="G133" s="10" t="s">
        <v>398</v>
      </c>
    </row>
    <row r="134" spans="1:7" ht="28.8" x14ac:dyDescent="0.3">
      <c r="A134" s="10">
        <v>133</v>
      </c>
      <c r="B134" s="10" t="s">
        <v>396</v>
      </c>
      <c r="C134" s="10" t="s">
        <v>117</v>
      </c>
      <c r="D134" s="10" t="s">
        <v>214</v>
      </c>
      <c r="E134" s="10" t="s">
        <v>197</v>
      </c>
      <c r="F134" s="10" t="s">
        <v>397</v>
      </c>
      <c r="G134" s="10" t="s">
        <v>398</v>
      </c>
    </row>
    <row r="135" spans="1:7" ht="28.8" x14ac:dyDescent="0.3">
      <c r="A135" s="10">
        <v>134</v>
      </c>
      <c r="B135" s="10" t="s">
        <v>396</v>
      </c>
      <c r="C135" s="10" t="s">
        <v>117</v>
      </c>
      <c r="D135" s="10" t="s">
        <v>230</v>
      </c>
      <c r="E135" s="10" t="s">
        <v>197</v>
      </c>
      <c r="F135" s="10" t="s">
        <v>397</v>
      </c>
      <c r="G135" s="10" t="s">
        <v>398</v>
      </c>
    </row>
    <row r="136" spans="1:7" ht="28.8" x14ac:dyDescent="0.3">
      <c r="A136" s="10">
        <v>135</v>
      </c>
      <c r="B136" s="10" t="s">
        <v>396</v>
      </c>
      <c r="C136" s="10" t="s">
        <v>117</v>
      </c>
      <c r="D136" s="10" t="s">
        <v>201</v>
      </c>
      <c r="E136" s="10" t="s">
        <v>230</v>
      </c>
      <c r="F136" s="10" t="s">
        <v>397</v>
      </c>
      <c r="G136" s="10" t="s">
        <v>398</v>
      </c>
    </row>
    <row r="137" spans="1:7" ht="43.2" x14ac:dyDescent="0.3">
      <c r="A137" s="10">
        <v>136</v>
      </c>
      <c r="B137" s="10" t="s">
        <v>396</v>
      </c>
      <c r="C137" s="10" t="s">
        <v>118</v>
      </c>
      <c r="D137" s="10" t="s">
        <v>231</v>
      </c>
      <c r="E137" s="10" t="s">
        <v>192</v>
      </c>
      <c r="F137" s="10" t="s">
        <v>399</v>
      </c>
      <c r="G137" s="10" t="s">
        <v>400</v>
      </c>
    </row>
    <row r="138" spans="1:7" ht="43.2" x14ac:dyDescent="0.3">
      <c r="A138" s="10">
        <v>137</v>
      </c>
      <c r="B138" s="10" t="s">
        <v>396</v>
      </c>
      <c r="C138" s="10" t="s">
        <v>118</v>
      </c>
      <c r="D138" s="10" t="s">
        <v>202</v>
      </c>
      <c r="E138" s="10" t="s">
        <v>197</v>
      </c>
      <c r="F138" s="10" t="s">
        <v>399</v>
      </c>
      <c r="G138" s="10" t="s">
        <v>400</v>
      </c>
    </row>
    <row r="139" spans="1:7" ht="43.2" x14ac:dyDescent="0.3">
      <c r="A139" s="10">
        <v>138</v>
      </c>
      <c r="B139" s="10" t="s">
        <v>396</v>
      </c>
      <c r="C139" s="10" t="s">
        <v>118</v>
      </c>
      <c r="D139" s="10" t="s">
        <v>215</v>
      </c>
      <c r="E139" s="10" t="s">
        <v>201</v>
      </c>
      <c r="F139" s="10" t="s">
        <v>399</v>
      </c>
      <c r="G139" s="10" t="s">
        <v>400</v>
      </c>
    </row>
    <row r="140" spans="1:7" ht="43.2" x14ac:dyDescent="0.3">
      <c r="A140" s="10">
        <v>139</v>
      </c>
      <c r="B140" s="10" t="s">
        <v>396</v>
      </c>
      <c r="C140" s="10" t="s">
        <v>118</v>
      </c>
      <c r="D140" s="10" t="s">
        <v>203</v>
      </c>
      <c r="E140" s="10" t="s">
        <v>215</v>
      </c>
      <c r="F140" s="10" t="s">
        <v>399</v>
      </c>
      <c r="G140" s="10" t="s">
        <v>400</v>
      </c>
    </row>
    <row r="141" spans="1:7" ht="43.2" x14ac:dyDescent="0.3">
      <c r="A141" s="10">
        <v>140</v>
      </c>
      <c r="B141" s="10" t="s">
        <v>396</v>
      </c>
      <c r="C141" s="10" t="s">
        <v>118</v>
      </c>
      <c r="D141" s="10" t="s">
        <v>204</v>
      </c>
      <c r="E141" s="10" t="s">
        <v>203</v>
      </c>
      <c r="F141" s="10" t="s">
        <v>399</v>
      </c>
      <c r="G141" s="10" t="s">
        <v>400</v>
      </c>
    </row>
    <row r="142" spans="1:7" ht="43.2" x14ac:dyDescent="0.3">
      <c r="A142" s="10">
        <v>141</v>
      </c>
      <c r="B142" s="10" t="s">
        <v>396</v>
      </c>
      <c r="C142" s="10" t="s">
        <v>118</v>
      </c>
      <c r="D142" s="10" t="s">
        <v>205</v>
      </c>
      <c r="E142" s="10" t="s">
        <v>204</v>
      </c>
      <c r="F142" s="10" t="s">
        <v>399</v>
      </c>
      <c r="G142" s="10" t="s">
        <v>400</v>
      </c>
    </row>
    <row r="143" spans="1:7" ht="43.2" x14ac:dyDescent="0.3">
      <c r="A143" s="10">
        <v>142</v>
      </c>
      <c r="B143" s="10" t="s">
        <v>396</v>
      </c>
      <c r="C143" s="10" t="s">
        <v>118</v>
      </c>
      <c r="D143" s="10" t="s">
        <v>206</v>
      </c>
      <c r="E143" s="10" t="s">
        <v>204</v>
      </c>
      <c r="F143" s="10" t="s">
        <v>399</v>
      </c>
      <c r="G143" s="10" t="s">
        <v>400</v>
      </c>
    </row>
    <row r="144" spans="1:7" ht="43.2" x14ac:dyDescent="0.3">
      <c r="A144" s="10">
        <v>143</v>
      </c>
      <c r="B144" s="10" t="s">
        <v>396</v>
      </c>
      <c r="C144" s="10" t="s">
        <v>118</v>
      </c>
      <c r="D144" s="10" t="s">
        <v>207</v>
      </c>
      <c r="E144" s="10" t="s">
        <v>204</v>
      </c>
      <c r="F144" s="10" t="s">
        <v>399</v>
      </c>
      <c r="G144" s="10" t="s">
        <v>400</v>
      </c>
    </row>
    <row r="145" spans="1:7" ht="43.2" x14ac:dyDescent="0.3">
      <c r="A145" s="10">
        <v>144</v>
      </c>
      <c r="B145" s="10" t="s">
        <v>396</v>
      </c>
      <c r="C145" s="10" t="s">
        <v>118</v>
      </c>
      <c r="D145" s="10" t="s">
        <v>208</v>
      </c>
      <c r="E145" s="10" t="s">
        <v>204</v>
      </c>
      <c r="F145" s="10" t="s">
        <v>399</v>
      </c>
      <c r="G145" s="10" t="s">
        <v>400</v>
      </c>
    </row>
    <row r="146" spans="1:7" ht="43.2" x14ac:dyDescent="0.3">
      <c r="A146" s="10">
        <v>145</v>
      </c>
      <c r="B146" s="10" t="s">
        <v>396</v>
      </c>
      <c r="C146" s="10" t="s">
        <v>118</v>
      </c>
      <c r="D146" s="10" t="s">
        <v>209</v>
      </c>
      <c r="E146" s="10" t="s">
        <v>204</v>
      </c>
      <c r="F146" s="10" t="s">
        <v>399</v>
      </c>
      <c r="G146" s="10" t="s">
        <v>400</v>
      </c>
    </row>
    <row r="147" spans="1:7" ht="43.2" x14ac:dyDescent="0.3">
      <c r="A147" s="10">
        <v>146</v>
      </c>
      <c r="B147" s="10" t="s">
        <v>396</v>
      </c>
      <c r="C147" s="10" t="s">
        <v>118</v>
      </c>
      <c r="D147" s="10" t="s">
        <v>223</v>
      </c>
      <c r="E147" s="10" t="s">
        <v>204</v>
      </c>
      <c r="F147" s="10" t="s">
        <v>399</v>
      </c>
      <c r="G147" s="10" t="s">
        <v>400</v>
      </c>
    </row>
    <row r="148" spans="1:7" ht="43.2" x14ac:dyDescent="0.3">
      <c r="A148" s="10">
        <v>147</v>
      </c>
      <c r="B148" s="10" t="s">
        <v>396</v>
      </c>
      <c r="C148" s="10" t="s">
        <v>118</v>
      </c>
      <c r="D148" s="10" t="s">
        <v>210</v>
      </c>
      <c r="E148" s="10" t="s">
        <v>205</v>
      </c>
      <c r="F148" s="10" t="s">
        <v>399</v>
      </c>
      <c r="G148" s="10" t="s">
        <v>400</v>
      </c>
    </row>
    <row r="149" spans="1:7" ht="43.2" x14ac:dyDescent="0.3">
      <c r="A149" s="10">
        <v>148</v>
      </c>
      <c r="B149" s="10" t="s">
        <v>396</v>
      </c>
      <c r="C149" s="10" t="s">
        <v>118</v>
      </c>
      <c r="D149" s="10" t="s">
        <v>211</v>
      </c>
      <c r="E149" s="10" t="s">
        <v>210</v>
      </c>
      <c r="F149" s="10" t="s">
        <v>399</v>
      </c>
      <c r="G149" s="10" t="s">
        <v>400</v>
      </c>
    </row>
    <row r="150" spans="1:7" ht="43.2" x14ac:dyDescent="0.3">
      <c r="A150" s="10">
        <v>149</v>
      </c>
      <c r="B150" s="10" t="s">
        <v>396</v>
      </c>
      <c r="C150" s="10" t="s">
        <v>118</v>
      </c>
      <c r="D150" s="10" t="s">
        <v>216</v>
      </c>
      <c r="E150" s="10" t="s">
        <v>203</v>
      </c>
      <c r="F150" s="10" t="s">
        <v>399</v>
      </c>
      <c r="G150" s="10" t="s">
        <v>400</v>
      </c>
    </row>
    <row r="151" spans="1:7" ht="43.2" x14ac:dyDescent="0.3">
      <c r="A151" s="10">
        <v>150</v>
      </c>
      <c r="B151" s="10" t="s">
        <v>396</v>
      </c>
      <c r="C151" s="10" t="s">
        <v>118</v>
      </c>
      <c r="D151" s="10" t="s">
        <v>217</v>
      </c>
      <c r="E151" s="10" t="s">
        <v>216</v>
      </c>
      <c r="F151" s="10" t="s">
        <v>399</v>
      </c>
      <c r="G151" s="10" t="s">
        <v>400</v>
      </c>
    </row>
    <row r="152" spans="1:7" ht="43.2" x14ac:dyDescent="0.3">
      <c r="A152" s="10">
        <v>151</v>
      </c>
      <c r="B152" s="10" t="s">
        <v>396</v>
      </c>
      <c r="C152" s="10" t="s">
        <v>118</v>
      </c>
      <c r="D152" s="10" t="s">
        <v>218</v>
      </c>
      <c r="E152" s="10" t="s">
        <v>204</v>
      </c>
      <c r="F152" s="10" t="s">
        <v>399</v>
      </c>
      <c r="G152" s="10" t="s">
        <v>400</v>
      </c>
    </row>
    <row r="153" spans="1:7" ht="43.2" x14ac:dyDescent="0.3">
      <c r="A153" s="10">
        <v>152</v>
      </c>
      <c r="B153" s="10" t="s">
        <v>396</v>
      </c>
      <c r="C153" s="10" t="s">
        <v>118</v>
      </c>
      <c r="D153" s="10" t="s">
        <v>219</v>
      </c>
      <c r="E153" s="10" t="s">
        <v>204</v>
      </c>
      <c r="F153" s="10" t="s">
        <v>399</v>
      </c>
      <c r="G153" s="10" t="s">
        <v>400</v>
      </c>
    </row>
    <row r="154" spans="1:7" ht="43.2" x14ac:dyDescent="0.3">
      <c r="A154" s="10">
        <v>153</v>
      </c>
      <c r="B154" s="10" t="s">
        <v>396</v>
      </c>
      <c r="C154" s="10" t="s">
        <v>118</v>
      </c>
      <c r="D154" s="10" t="s">
        <v>220</v>
      </c>
      <c r="E154" s="10" t="s">
        <v>216</v>
      </c>
      <c r="F154" s="10" t="s">
        <v>399</v>
      </c>
      <c r="G154" s="10" t="s">
        <v>400</v>
      </c>
    </row>
    <row r="155" spans="1:7" ht="43.2" x14ac:dyDescent="0.3">
      <c r="A155" s="10">
        <v>154</v>
      </c>
      <c r="B155" s="10" t="s">
        <v>396</v>
      </c>
      <c r="C155" s="10" t="s">
        <v>118</v>
      </c>
      <c r="D155" s="10" t="s">
        <v>221</v>
      </c>
      <c r="E155" s="10" t="s">
        <v>216</v>
      </c>
      <c r="F155" s="10" t="s">
        <v>399</v>
      </c>
      <c r="G155" s="10" t="s">
        <v>400</v>
      </c>
    </row>
    <row r="156" spans="1:7" ht="43.2" x14ac:dyDescent="0.3">
      <c r="A156" s="10">
        <v>155</v>
      </c>
      <c r="B156" s="10" t="s">
        <v>396</v>
      </c>
      <c r="C156" s="10" t="s">
        <v>118</v>
      </c>
      <c r="D156" s="10" t="s">
        <v>222</v>
      </c>
      <c r="E156" s="10" t="s">
        <v>216</v>
      </c>
      <c r="F156" s="10" t="s">
        <v>399</v>
      </c>
      <c r="G156" s="10" t="s">
        <v>400</v>
      </c>
    </row>
    <row r="157" spans="1:7" ht="43.2" x14ac:dyDescent="0.3">
      <c r="A157" s="10">
        <v>156</v>
      </c>
      <c r="B157" s="10" t="s">
        <v>396</v>
      </c>
      <c r="C157" s="10" t="s">
        <v>118</v>
      </c>
      <c r="D157" s="10" t="s">
        <v>232</v>
      </c>
      <c r="E157" s="10" t="s">
        <v>230</v>
      </c>
      <c r="F157" s="10" t="s">
        <v>399</v>
      </c>
      <c r="G157" s="10" t="s">
        <v>400</v>
      </c>
    </row>
    <row r="158" spans="1:7" ht="43.2" x14ac:dyDescent="0.3">
      <c r="A158" s="10">
        <v>157</v>
      </c>
      <c r="B158" s="10" t="s">
        <v>396</v>
      </c>
      <c r="C158" s="10" t="s">
        <v>118</v>
      </c>
      <c r="D158" s="10" t="s">
        <v>233</v>
      </c>
      <c r="E158" s="10" t="s">
        <v>216</v>
      </c>
      <c r="F158" s="10" t="s">
        <v>399</v>
      </c>
      <c r="G158" s="10" t="s">
        <v>400</v>
      </c>
    </row>
    <row r="159" spans="1:7" ht="43.2" x14ac:dyDescent="0.3">
      <c r="A159" s="10">
        <v>158</v>
      </c>
      <c r="B159" s="10" t="s">
        <v>396</v>
      </c>
      <c r="C159" s="10" t="s">
        <v>118</v>
      </c>
      <c r="D159" s="10" t="s">
        <v>234</v>
      </c>
      <c r="E159" s="10" t="s">
        <v>204</v>
      </c>
      <c r="F159" s="10" t="s">
        <v>399</v>
      </c>
      <c r="G159" s="10" t="s">
        <v>400</v>
      </c>
    </row>
    <row r="160" spans="1:7" ht="43.2" x14ac:dyDescent="0.3">
      <c r="A160" s="10">
        <v>159</v>
      </c>
      <c r="B160" s="10" t="s">
        <v>396</v>
      </c>
      <c r="C160" s="10" t="s">
        <v>118</v>
      </c>
      <c r="D160" s="10" t="s">
        <v>235</v>
      </c>
      <c r="E160" s="10" t="s">
        <v>216</v>
      </c>
      <c r="F160" s="10" t="s">
        <v>399</v>
      </c>
      <c r="G160" s="10" t="s">
        <v>400</v>
      </c>
    </row>
    <row r="161" spans="1:7" ht="43.2" x14ac:dyDescent="0.3">
      <c r="A161" s="10">
        <v>160</v>
      </c>
      <c r="B161" s="10" t="s">
        <v>396</v>
      </c>
      <c r="C161" s="10" t="s">
        <v>118</v>
      </c>
      <c r="D161" s="10" t="s">
        <v>236</v>
      </c>
      <c r="E161" s="10" t="s">
        <v>216</v>
      </c>
      <c r="F161" s="10" t="s">
        <v>399</v>
      </c>
      <c r="G161" s="10" t="s">
        <v>400</v>
      </c>
    </row>
    <row r="162" spans="1:7" ht="43.2" x14ac:dyDescent="0.3">
      <c r="A162" s="10">
        <v>161</v>
      </c>
      <c r="B162" s="10" t="s">
        <v>396</v>
      </c>
      <c r="C162" s="10" t="s">
        <v>118</v>
      </c>
      <c r="D162" s="10" t="s">
        <v>237</v>
      </c>
      <c r="E162" s="10" t="s">
        <v>216</v>
      </c>
      <c r="F162" s="10" t="s">
        <v>399</v>
      </c>
      <c r="G162" s="10" t="s">
        <v>400</v>
      </c>
    </row>
    <row r="163" spans="1:7" ht="28.8" x14ac:dyDescent="0.3">
      <c r="A163" s="10">
        <v>162</v>
      </c>
      <c r="B163" s="10" t="s">
        <v>396</v>
      </c>
      <c r="C163" s="10" t="s">
        <v>116</v>
      </c>
      <c r="D163" s="10" t="s">
        <v>191</v>
      </c>
      <c r="E163" s="10" t="s">
        <v>192</v>
      </c>
      <c r="F163" s="10" t="s">
        <v>401</v>
      </c>
      <c r="G163" s="10" t="s">
        <v>402</v>
      </c>
    </row>
    <row r="164" spans="1:7" ht="28.8" x14ac:dyDescent="0.3">
      <c r="A164" s="10">
        <v>163</v>
      </c>
      <c r="B164" s="10" t="s">
        <v>396</v>
      </c>
      <c r="C164" s="10" t="s">
        <v>116</v>
      </c>
      <c r="D164" s="10" t="s">
        <v>193</v>
      </c>
      <c r="E164" s="10" t="s">
        <v>194</v>
      </c>
      <c r="F164" s="10" t="s">
        <v>401</v>
      </c>
      <c r="G164" s="10" t="s">
        <v>402</v>
      </c>
    </row>
    <row r="165" spans="1:7" ht="28.8" x14ac:dyDescent="0.3">
      <c r="A165" s="10">
        <v>164</v>
      </c>
      <c r="B165" s="10" t="s">
        <v>396</v>
      </c>
      <c r="C165" s="10" t="s">
        <v>116</v>
      </c>
      <c r="D165" s="10" t="s">
        <v>195</v>
      </c>
      <c r="E165" s="10" t="s">
        <v>194</v>
      </c>
      <c r="F165" s="10" t="s">
        <v>401</v>
      </c>
      <c r="G165" s="10" t="s">
        <v>402</v>
      </c>
    </row>
    <row r="166" spans="1:7" ht="28.8" x14ac:dyDescent="0.3">
      <c r="A166" s="10">
        <v>165</v>
      </c>
      <c r="B166" s="10" t="s">
        <v>396</v>
      </c>
      <c r="C166" s="10" t="s">
        <v>116</v>
      </c>
      <c r="D166" s="10" t="s">
        <v>224</v>
      </c>
      <c r="E166" s="10" t="s">
        <v>194</v>
      </c>
      <c r="F166" s="10" t="s">
        <v>401</v>
      </c>
      <c r="G166" s="10" t="s">
        <v>402</v>
      </c>
    </row>
    <row r="167" spans="1:7" ht="28.8" x14ac:dyDescent="0.3">
      <c r="A167" s="10">
        <v>166</v>
      </c>
      <c r="B167" s="10" t="s">
        <v>396</v>
      </c>
      <c r="C167" s="10" t="s">
        <v>116</v>
      </c>
      <c r="D167" s="10" t="s">
        <v>225</v>
      </c>
      <c r="F167" s="10" t="s">
        <v>401</v>
      </c>
      <c r="G167" s="10" t="s">
        <v>402</v>
      </c>
    </row>
    <row r="168" spans="1:7" ht="28.8" x14ac:dyDescent="0.3">
      <c r="A168" s="10">
        <v>167</v>
      </c>
      <c r="B168" s="10" t="s">
        <v>396</v>
      </c>
      <c r="C168" s="10" t="s">
        <v>116</v>
      </c>
      <c r="D168" s="10" t="s">
        <v>196</v>
      </c>
      <c r="E168" s="10" t="s">
        <v>194</v>
      </c>
      <c r="F168" s="10" t="s">
        <v>401</v>
      </c>
      <c r="G168" s="10" t="s">
        <v>402</v>
      </c>
    </row>
    <row r="169" spans="1:7" ht="28.8" x14ac:dyDescent="0.3">
      <c r="A169" s="10">
        <v>168</v>
      </c>
      <c r="B169" s="10" t="s">
        <v>396</v>
      </c>
      <c r="C169" s="10" t="s">
        <v>116</v>
      </c>
      <c r="D169" s="10" t="s">
        <v>226</v>
      </c>
      <c r="E169" s="10" t="s">
        <v>194</v>
      </c>
      <c r="F169" s="10" t="s">
        <v>401</v>
      </c>
      <c r="G169" s="10" t="s">
        <v>402</v>
      </c>
    </row>
    <row r="170" spans="1:7" ht="28.8" x14ac:dyDescent="0.3">
      <c r="A170" s="10">
        <v>169</v>
      </c>
      <c r="B170" s="10" t="s">
        <v>396</v>
      </c>
      <c r="C170" s="10" t="s">
        <v>116</v>
      </c>
      <c r="D170" s="10" t="s">
        <v>227</v>
      </c>
      <c r="E170" s="10" t="s">
        <v>194</v>
      </c>
      <c r="F170" s="10" t="s">
        <v>401</v>
      </c>
      <c r="G170" s="10" t="s">
        <v>402</v>
      </c>
    </row>
    <row r="171" spans="1:7" ht="28.8" x14ac:dyDescent="0.3">
      <c r="A171" s="10">
        <v>170</v>
      </c>
      <c r="B171" s="10" t="s">
        <v>396</v>
      </c>
      <c r="C171" s="10" t="s">
        <v>116</v>
      </c>
      <c r="D171" s="10" t="s">
        <v>228</v>
      </c>
      <c r="E171" s="10" t="s">
        <v>194</v>
      </c>
      <c r="F171" s="10" t="s">
        <v>401</v>
      </c>
      <c r="G171" s="10" t="s">
        <v>402</v>
      </c>
    </row>
    <row r="172" spans="1:7" ht="28.8" x14ac:dyDescent="0.3">
      <c r="A172" s="10">
        <v>171</v>
      </c>
      <c r="B172" s="10" t="s">
        <v>396</v>
      </c>
      <c r="C172" s="10" t="s">
        <v>116</v>
      </c>
      <c r="D172" s="10" t="s">
        <v>229</v>
      </c>
      <c r="E172" s="10" t="s">
        <v>228</v>
      </c>
      <c r="F172" s="10" t="s">
        <v>401</v>
      </c>
      <c r="G172" s="10" t="s">
        <v>402</v>
      </c>
    </row>
    <row r="173" spans="1:7" ht="28.8" x14ac:dyDescent="0.3">
      <c r="A173" s="10">
        <v>172</v>
      </c>
      <c r="B173" s="10" t="s">
        <v>403</v>
      </c>
      <c r="C173" s="10" t="s">
        <v>116</v>
      </c>
      <c r="D173" s="10" t="s">
        <v>191</v>
      </c>
      <c r="E173" s="10" t="s">
        <v>192</v>
      </c>
      <c r="F173" s="10" t="s">
        <v>404</v>
      </c>
      <c r="G173" s="10" t="s">
        <v>405</v>
      </c>
    </row>
    <row r="174" spans="1:7" ht="28.8" x14ac:dyDescent="0.3">
      <c r="A174" s="10">
        <v>173</v>
      </c>
      <c r="B174" s="10" t="s">
        <v>403</v>
      </c>
      <c r="C174" s="10" t="s">
        <v>116</v>
      </c>
      <c r="D174" s="10" t="s">
        <v>193</v>
      </c>
      <c r="E174" s="10" t="s">
        <v>194</v>
      </c>
      <c r="F174" s="10" t="s">
        <v>404</v>
      </c>
      <c r="G174" s="10" t="s">
        <v>405</v>
      </c>
    </row>
    <row r="175" spans="1:7" ht="28.8" x14ac:dyDescent="0.3">
      <c r="A175" s="10">
        <v>174</v>
      </c>
      <c r="B175" s="10" t="s">
        <v>403</v>
      </c>
      <c r="C175" s="10" t="s">
        <v>116</v>
      </c>
      <c r="D175" s="10" t="s">
        <v>195</v>
      </c>
      <c r="E175" s="10" t="s">
        <v>194</v>
      </c>
      <c r="F175" s="10" t="s">
        <v>404</v>
      </c>
      <c r="G175" s="10" t="s">
        <v>405</v>
      </c>
    </row>
    <row r="176" spans="1:7" ht="28.8" x14ac:dyDescent="0.3">
      <c r="A176" s="10">
        <v>175</v>
      </c>
      <c r="B176" s="10" t="s">
        <v>403</v>
      </c>
      <c r="C176" s="10" t="s">
        <v>116</v>
      </c>
      <c r="D176" s="10" t="s">
        <v>224</v>
      </c>
      <c r="E176" s="10" t="s">
        <v>194</v>
      </c>
      <c r="F176" s="10" t="s">
        <v>404</v>
      </c>
      <c r="G176" s="10" t="s">
        <v>405</v>
      </c>
    </row>
    <row r="177" spans="1:7" ht="28.8" x14ac:dyDescent="0.3">
      <c r="A177" s="10">
        <v>176</v>
      </c>
      <c r="B177" s="10" t="s">
        <v>403</v>
      </c>
      <c r="C177" s="10" t="s">
        <v>116</v>
      </c>
      <c r="D177" s="10" t="s">
        <v>225</v>
      </c>
      <c r="F177" s="10" t="s">
        <v>404</v>
      </c>
      <c r="G177" s="10" t="s">
        <v>405</v>
      </c>
    </row>
    <row r="178" spans="1:7" ht="28.8" x14ac:dyDescent="0.3">
      <c r="A178" s="10">
        <v>177</v>
      </c>
      <c r="B178" s="10" t="s">
        <v>403</v>
      </c>
      <c r="C178" s="10" t="s">
        <v>116</v>
      </c>
      <c r="D178" s="10" t="s">
        <v>196</v>
      </c>
      <c r="E178" s="10" t="s">
        <v>194</v>
      </c>
      <c r="F178" s="10" t="s">
        <v>404</v>
      </c>
      <c r="G178" s="10" t="s">
        <v>405</v>
      </c>
    </row>
    <row r="179" spans="1:7" ht="28.8" x14ac:dyDescent="0.3">
      <c r="A179" s="10">
        <v>178</v>
      </c>
      <c r="B179" s="10" t="s">
        <v>403</v>
      </c>
      <c r="C179" s="10" t="s">
        <v>116</v>
      </c>
      <c r="D179" s="10" t="s">
        <v>226</v>
      </c>
      <c r="E179" s="10" t="s">
        <v>194</v>
      </c>
      <c r="F179" s="10" t="s">
        <v>404</v>
      </c>
      <c r="G179" s="10" t="s">
        <v>405</v>
      </c>
    </row>
    <row r="180" spans="1:7" ht="28.8" x14ac:dyDescent="0.3">
      <c r="A180" s="10">
        <v>179</v>
      </c>
      <c r="B180" s="10" t="s">
        <v>403</v>
      </c>
      <c r="C180" s="10" t="s">
        <v>116</v>
      </c>
      <c r="D180" s="10" t="s">
        <v>227</v>
      </c>
      <c r="E180" s="10" t="s">
        <v>194</v>
      </c>
      <c r="F180" s="10" t="s">
        <v>404</v>
      </c>
      <c r="G180" s="10" t="s">
        <v>405</v>
      </c>
    </row>
    <row r="181" spans="1:7" ht="28.8" x14ac:dyDescent="0.3">
      <c r="A181" s="10">
        <v>180</v>
      </c>
      <c r="B181" s="10" t="s">
        <v>403</v>
      </c>
      <c r="C181" s="10" t="s">
        <v>116</v>
      </c>
      <c r="D181" s="10" t="s">
        <v>228</v>
      </c>
      <c r="E181" s="10" t="s">
        <v>194</v>
      </c>
      <c r="F181" s="10" t="s">
        <v>404</v>
      </c>
      <c r="G181" s="10" t="s">
        <v>405</v>
      </c>
    </row>
    <row r="182" spans="1:7" ht="28.8" x14ac:dyDescent="0.3">
      <c r="A182" s="10">
        <v>181</v>
      </c>
      <c r="B182" s="10" t="s">
        <v>403</v>
      </c>
      <c r="C182" s="10" t="s">
        <v>116</v>
      </c>
      <c r="D182" s="10" t="s">
        <v>229</v>
      </c>
      <c r="E182" s="10" t="s">
        <v>228</v>
      </c>
      <c r="F182" s="10" t="s">
        <v>404</v>
      </c>
      <c r="G182" s="10" t="s">
        <v>405</v>
      </c>
    </row>
    <row r="183" spans="1:7" ht="28.8" x14ac:dyDescent="0.3">
      <c r="A183" s="10">
        <v>182</v>
      </c>
      <c r="B183" s="10" t="s">
        <v>406</v>
      </c>
      <c r="C183" s="10" t="s">
        <v>117</v>
      </c>
      <c r="D183" s="10" t="s">
        <v>212</v>
      </c>
      <c r="F183" s="10" t="s">
        <v>407</v>
      </c>
      <c r="G183" s="10" t="s">
        <v>408</v>
      </c>
    </row>
    <row r="184" spans="1:7" ht="28.8" x14ac:dyDescent="0.3">
      <c r="A184" s="10">
        <v>183</v>
      </c>
      <c r="B184" s="10" t="s">
        <v>406</v>
      </c>
      <c r="C184" s="10" t="s">
        <v>117</v>
      </c>
      <c r="D184" s="10" t="s">
        <v>197</v>
      </c>
      <c r="E184" s="10" t="s">
        <v>194</v>
      </c>
      <c r="F184" s="10" t="s">
        <v>407</v>
      </c>
      <c r="G184" s="10" t="s">
        <v>408</v>
      </c>
    </row>
    <row r="185" spans="1:7" ht="28.8" x14ac:dyDescent="0.3">
      <c r="A185" s="10">
        <v>184</v>
      </c>
      <c r="B185" s="10" t="s">
        <v>406</v>
      </c>
      <c r="C185" s="10" t="s">
        <v>117</v>
      </c>
      <c r="D185" s="10" t="s">
        <v>198</v>
      </c>
      <c r="E185" s="10" t="s">
        <v>197</v>
      </c>
      <c r="F185" s="10" t="s">
        <v>407</v>
      </c>
      <c r="G185" s="10" t="s">
        <v>408</v>
      </c>
    </row>
    <row r="186" spans="1:7" ht="28.8" x14ac:dyDescent="0.3">
      <c r="A186" s="10">
        <v>185</v>
      </c>
      <c r="B186" s="10" t="s">
        <v>406</v>
      </c>
      <c r="C186" s="10" t="s">
        <v>117</v>
      </c>
      <c r="D186" s="10" t="s">
        <v>199</v>
      </c>
      <c r="E186" s="10" t="s">
        <v>197</v>
      </c>
      <c r="F186" s="10" t="s">
        <v>407</v>
      </c>
      <c r="G186" s="10" t="s">
        <v>408</v>
      </c>
    </row>
    <row r="187" spans="1:7" ht="28.8" x14ac:dyDescent="0.3">
      <c r="A187" s="10">
        <v>186</v>
      </c>
      <c r="B187" s="10" t="s">
        <v>406</v>
      </c>
      <c r="C187" s="10" t="s">
        <v>117</v>
      </c>
      <c r="D187" s="10" t="s">
        <v>200</v>
      </c>
      <c r="E187" s="10" t="s">
        <v>197</v>
      </c>
      <c r="F187" s="10" t="s">
        <v>407</v>
      </c>
      <c r="G187" s="10" t="s">
        <v>408</v>
      </c>
    </row>
    <row r="188" spans="1:7" ht="28.8" x14ac:dyDescent="0.3">
      <c r="A188" s="10">
        <v>187</v>
      </c>
      <c r="B188" s="10" t="s">
        <v>406</v>
      </c>
      <c r="C188" s="10" t="s">
        <v>117</v>
      </c>
      <c r="D188" s="10" t="s">
        <v>213</v>
      </c>
      <c r="E188" s="10" t="s">
        <v>197</v>
      </c>
      <c r="F188" s="10" t="s">
        <v>407</v>
      </c>
      <c r="G188" s="10" t="s">
        <v>408</v>
      </c>
    </row>
    <row r="189" spans="1:7" ht="28.8" x14ac:dyDescent="0.3">
      <c r="A189" s="10">
        <v>188</v>
      </c>
      <c r="B189" s="10" t="s">
        <v>406</v>
      </c>
      <c r="C189" s="10" t="s">
        <v>117</v>
      </c>
      <c r="D189" s="10" t="s">
        <v>214</v>
      </c>
      <c r="E189" s="10" t="s">
        <v>197</v>
      </c>
      <c r="F189" s="10" t="s">
        <v>407</v>
      </c>
      <c r="G189" s="10" t="s">
        <v>408</v>
      </c>
    </row>
    <row r="190" spans="1:7" ht="28.8" x14ac:dyDescent="0.3">
      <c r="A190" s="10">
        <v>189</v>
      </c>
      <c r="B190" s="10" t="s">
        <v>406</v>
      </c>
      <c r="C190" s="10" t="s">
        <v>117</v>
      </c>
      <c r="D190" s="10" t="s">
        <v>230</v>
      </c>
      <c r="E190" s="10" t="s">
        <v>197</v>
      </c>
      <c r="F190" s="10" t="s">
        <v>407</v>
      </c>
      <c r="G190" s="10" t="s">
        <v>408</v>
      </c>
    </row>
    <row r="191" spans="1:7" ht="28.8" x14ac:dyDescent="0.3">
      <c r="A191" s="10">
        <v>190</v>
      </c>
      <c r="B191" s="10" t="s">
        <v>406</v>
      </c>
      <c r="C191" s="10" t="s">
        <v>117</v>
      </c>
      <c r="D191" s="10" t="s">
        <v>201</v>
      </c>
      <c r="E191" s="10" t="s">
        <v>230</v>
      </c>
      <c r="F191" s="10" t="s">
        <v>407</v>
      </c>
      <c r="G191" s="10" t="s">
        <v>408</v>
      </c>
    </row>
    <row r="192" spans="1:7" ht="28.8" x14ac:dyDescent="0.3">
      <c r="A192" s="10">
        <v>191</v>
      </c>
      <c r="B192" s="10" t="s">
        <v>406</v>
      </c>
      <c r="C192" s="10" t="s">
        <v>118</v>
      </c>
      <c r="D192" s="10" t="s">
        <v>231</v>
      </c>
      <c r="E192" s="10" t="s">
        <v>192</v>
      </c>
      <c r="F192" s="10" t="s">
        <v>409</v>
      </c>
      <c r="G192" s="10" t="s">
        <v>410</v>
      </c>
    </row>
    <row r="193" spans="1:7" ht="28.8" x14ac:dyDescent="0.3">
      <c r="A193" s="10">
        <v>192</v>
      </c>
      <c r="B193" s="10" t="s">
        <v>406</v>
      </c>
      <c r="C193" s="10" t="s">
        <v>118</v>
      </c>
      <c r="D193" s="10" t="s">
        <v>202</v>
      </c>
      <c r="E193" s="10" t="s">
        <v>197</v>
      </c>
      <c r="F193" s="10" t="s">
        <v>409</v>
      </c>
      <c r="G193" s="10" t="s">
        <v>410</v>
      </c>
    </row>
    <row r="194" spans="1:7" ht="28.8" x14ac:dyDescent="0.3">
      <c r="A194" s="10">
        <v>193</v>
      </c>
      <c r="B194" s="10" t="s">
        <v>406</v>
      </c>
      <c r="C194" s="10" t="s">
        <v>118</v>
      </c>
      <c r="D194" s="10" t="s">
        <v>215</v>
      </c>
      <c r="E194" s="10" t="s">
        <v>201</v>
      </c>
      <c r="F194" s="10" t="s">
        <v>409</v>
      </c>
      <c r="G194" s="10" t="s">
        <v>410</v>
      </c>
    </row>
    <row r="195" spans="1:7" ht="28.8" x14ac:dyDescent="0.3">
      <c r="A195" s="10">
        <v>194</v>
      </c>
      <c r="B195" s="10" t="s">
        <v>406</v>
      </c>
      <c r="C195" s="10" t="s">
        <v>118</v>
      </c>
      <c r="D195" s="10" t="s">
        <v>203</v>
      </c>
      <c r="E195" s="10" t="s">
        <v>215</v>
      </c>
      <c r="F195" s="10" t="s">
        <v>409</v>
      </c>
      <c r="G195" s="10" t="s">
        <v>410</v>
      </c>
    </row>
    <row r="196" spans="1:7" ht="28.8" x14ac:dyDescent="0.3">
      <c r="A196" s="10">
        <v>195</v>
      </c>
      <c r="B196" s="10" t="s">
        <v>406</v>
      </c>
      <c r="C196" s="10" t="s">
        <v>118</v>
      </c>
      <c r="D196" s="10" t="s">
        <v>204</v>
      </c>
      <c r="E196" s="10" t="s">
        <v>203</v>
      </c>
      <c r="F196" s="10" t="s">
        <v>409</v>
      </c>
      <c r="G196" s="10" t="s">
        <v>410</v>
      </c>
    </row>
    <row r="197" spans="1:7" ht="28.8" x14ac:dyDescent="0.3">
      <c r="A197" s="10">
        <v>196</v>
      </c>
      <c r="B197" s="10" t="s">
        <v>406</v>
      </c>
      <c r="C197" s="10" t="s">
        <v>118</v>
      </c>
      <c r="D197" s="10" t="s">
        <v>205</v>
      </c>
      <c r="E197" s="10" t="s">
        <v>204</v>
      </c>
      <c r="F197" s="10" t="s">
        <v>409</v>
      </c>
      <c r="G197" s="10" t="s">
        <v>410</v>
      </c>
    </row>
    <row r="198" spans="1:7" ht="28.8" x14ac:dyDescent="0.3">
      <c r="A198" s="10">
        <v>197</v>
      </c>
      <c r="B198" s="10" t="s">
        <v>406</v>
      </c>
      <c r="C198" s="10" t="s">
        <v>118</v>
      </c>
      <c r="D198" s="10" t="s">
        <v>206</v>
      </c>
      <c r="E198" s="10" t="s">
        <v>204</v>
      </c>
      <c r="F198" s="10" t="s">
        <v>409</v>
      </c>
      <c r="G198" s="10" t="s">
        <v>410</v>
      </c>
    </row>
    <row r="199" spans="1:7" ht="28.8" x14ac:dyDescent="0.3">
      <c r="A199" s="10">
        <v>198</v>
      </c>
      <c r="B199" s="10" t="s">
        <v>406</v>
      </c>
      <c r="C199" s="10" t="s">
        <v>118</v>
      </c>
      <c r="D199" s="10" t="s">
        <v>207</v>
      </c>
      <c r="E199" s="10" t="s">
        <v>204</v>
      </c>
      <c r="F199" s="10" t="s">
        <v>409</v>
      </c>
      <c r="G199" s="10" t="s">
        <v>410</v>
      </c>
    </row>
    <row r="200" spans="1:7" ht="28.8" x14ac:dyDescent="0.3">
      <c r="A200" s="10">
        <v>199</v>
      </c>
      <c r="B200" s="10" t="s">
        <v>406</v>
      </c>
      <c r="C200" s="10" t="s">
        <v>118</v>
      </c>
      <c r="D200" s="10" t="s">
        <v>208</v>
      </c>
      <c r="E200" s="10" t="s">
        <v>204</v>
      </c>
      <c r="F200" s="10" t="s">
        <v>409</v>
      </c>
      <c r="G200" s="10" t="s">
        <v>410</v>
      </c>
    </row>
    <row r="201" spans="1:7" ht="28.8" x14ac:dyDescent="0.3">
      <c r="A201" s="10">
        <v>200</v>
      </c>
      <c r="B201" s="10" t="s">
        <v>406</v>
      </c>
      <c r="C201" s="10" t="s">
        <v>118</v>
      </c>
      <c r="D201" s="10" t="s">
        <v>209</v>
      </c>
      <c r="E201" s="10" t="s">
        <v>204</v>
      </c>
      <c r="F201" s="10" t="s">
        <v>409</v>
      </c>
      <c r="G201" s="10" t="s">
        <v>410</v>
      </c>
    </row>
    <row r="202" spans="1:7" ht="28.8" x14ac:dyDescent="0.3">
      <c r="A202" s="10">
        <v>201</v>
      </c>
      <c r="B202" s="10" t="s">
        <v>406</v>
      </c>
      <c r="C202" s="10" t="s">
        <v>118</v>
      </c>
      <c r="D202" s="10" t="s">
        <v>223</v>
      </c>
      <c r="E202" s="10" t="s">
        <v>204</v>
      </c>
      <c r="F202" s="10" t="s">
        <v>409</v>
      </c>
      <c r="G202" s="10" t="s">
        <v>410</v>
      </c>
    </row>
    <row r="203" spans="1:7" ht="28.8" x14ac:dyDescent="0.3">
      <c r="A203" s="10">
        <v>202</v>
      </c>
      <c r="B203" s="10" t="s">
        <v>406</v>
      </c>
      <c r="C203" s="10" t="s">
        <v>118</v>
      </c>
      <c r="D203" s="10" t="s">
        <v>210</v>
      </c>
      <c r="E203" s="10" t="s">
        <v>205</v>
      </c>
      <c r="F203" s="10" t="s">
        <v>409</v>
      </c>
      <c r="G203" s="10" t="s">
        <v>410</v>
      </c>
    </row>
    <row r="204" spans="1:7" ht="28.8" x14ac:dyDescent="0.3">
      <c r="A204" s="10">
        <v>203</v>
      </c>
      <c r="B204" s="10" t="s">
        <v>406</v>
      </c>
      <c r="C204" s="10" t="s">
        <v>118</v>
      </c>
      <c r="D204" s="10" t="s">
        <v>211</v>
      </c>
      <c r="E204" s="10" t="s">
        <v>210</v>
      </c>
      <c r="F204" s="10" t="s">
        <v>409</v>
      </c>
      <c r="G204" s="10" t="s">
        <v>410</v>
      </c>
    </row>
    <row r="205" spans="1:7" ht="28.8" x14ac:dyDescent="0.3">
      <c r="A205" s="10">
        <v>204</v>
      </c>
      <c r="B205" s="10" t="s">
        <v>406</v>
      </c>
      <c r="C205" s="10" t="s">
        <v>118</v>
      </c>
      <c r="D205" s="10" t="s">
        <v>216</v>
      </c>
      <c r="E205" s="10" t="s">
        <v>203</v>
      </c>
      <c r="F205" s="10" t="s">
        <v>409</v>
      </c>
      <c r="G205" s="10" t="s">
        <v>410</v>
      </c>
    </row>
    <row r="206" spans="1:7" ht="28.8" x14ac:dyDescent="0.3">
      <c r="A206" s="10">
        <v>205</v>
      </c>
      <c r="B206" s="10" t="s">
        <v>406</v>
      </c>
      <c r="C206" s="10" t="s">
        <v>118</v>
      </c>
      <c r="D206" s="10" t="s">
        <v>217</v>
      </c>
      <c r="E206" s="10" t="s">
        <v>216</v>
      </c>
      <c r="F206" s="10" t="s">
        <v>409</v>
      </c>
      <c r="G206" s="10" t="s">
        <v>410</v>
      </c>
    </row>
    <row r="207" spans="1:7" ht="28.8" x14ac:dyDescent="0.3">
      <c r="A207" s="10">
        <v>206</v>
      </c>
      <c r="B207" s="10" t="s">
        <v>406</v>
      </c>
      <c r="C207" s="10" t="s">
        <v>118</v>
      </c>
      <c r="D207" s="10" t="s">
        <v>218</v>
      </c>
      <c r="E207" s="10" t="s">
        <v>204</v>
      </c>
      <c r="F207" s="10" t="s">
        <v>409</v>
      </c>
      <c r="G207" s="10" t="s">
        <v>410</v>
      </c>
    </row>
    <row r="208" spans="1:7" ht="28.8" x14ac:dyDescent="0.3">
      <c r="A208" s="10">
        <v>207</v>
      </c>
      <c r="B208" s="10" t="s">
        <v>406</v>
      </c>
      <c r="C208" s="10" t="s">
        <v>118</v>
      </c>
      <c r="D208" s="10" t="s">
        <v>219</v>
      </c>
      <c r="E208" s="10" t="s">
        <v>204</v>
      </c>
      <c r="F208" s="10" t="s">
        <v>409</v>
      </c>
      <c r="G208" s="10" t="s">
        <v>410</v>
      </c>
    </row>
    <row r="209" spans="1:7" ht="28.8" x14ac:dyDescent="0.3">
      <c r="A209" s="10">
        <v>208</v>
      </c>
      <c r="B209" s="10" t="s">
        <v>406</v>
      </c>
      <c r="C209" s="10" t="s">
        <v>118</v>
      </c>
      <c r="D209" s="10" t="s">
        <v>220</v>
      </c>
      <c r="E209" s="10" t="s">
        <v>216</v>
      </c>
      <c r="F209" s="10" t="s">
        <v>409</v>
      </c>
      <c r="G209" s="10" t="s">
        <v>410</v>
      </c>
    </row>
    <row r="210" spans="1:7" ht="28.8" x14ac:dyDescent="0.3">
      <c r="A210" s="10">
        <v>209</v>
      </c>
      <c r="B210" s="10" t="s">
        <v>406</v>
      </c>
      <c r="C210" s="10" t="s">
        <v>118</v>
      </c>
      <c r="D210" s="10" t="s">
        <v>221</v>
      </c>
      <c r="E210" s="10" t="s">
        <v>216</v>
      </c>
      <c r="F210" s="10" t="s">
        <v>409</v>
      </c>
      <c r="G210" s="10" t="s">
        <v>410</v>
      </c>
    </row>
    <row r="211" spans="1:7" ht="28.8" x14ac:dyDescent="0.3">
      <c r="A211" s="10">
        <v>210</v>
      </c>
      <c r="B211" s="10" t="s">
        <v>406</v>
      </c>
      <c r="C211" s="10" t="s">
        <v>118</v>
      </c>
      <c r="D211" s="10" t="s">
        <v>222</v>
      </c>
      <c r="E211" s="10" t="s">
        <v>216</v>
      </c>
      <c r="F211" s="10" t="s">
        <v>409</v>
      </c>
      <c r="G211" s="10" t="s">
        <v>410</v>
      </c>
    </row>
    <row r="212" spans="1:7" ht="28.8" x14ac:dyDescent="0.3">
      <c r="A212" s="10">
        <v>211</v>
      </c>
      <c r="B212" s="10" t="s">
        <v>406</v>
      </c>
      <c r="C212" s="10" t="s">
        <v>118</v>
      </c>
      <c r="D212" s="10" t="s">
        <v>232</v>
      </c>
      <c r="E212" s="10" t="s">
        <v>230</v>
      </c>
      <c r="F212" s="10" t="s">
        <v>409</v>
      </c>
      <c r="G212" s="10" t="s">
        <v>410</v>
      </c>
    </row>
    <row r="213" spans="1:7" ht="28.8" x14ac:dyDescent="0.3">
      <c r="A213" s="10">
        <v>212</v>
      </c>
      <c r="B213" s="10" t="s">
        <v>406</v>
      </c>
      <c r="C213" s="10" t="s">
        <v>118</v>
      </c>
      <c r="D213" s="10" t="s">
        <v>233</v>
      </c>
      <c r="E213" s="10" t="s">
        <v>216</v>
      </c>
      <c r="F213" s="10" t="s">
        <v>409</v>
      </c>
      <c r="G213" s="10" t="s">
        <v>410</v>
      </c>
    </row>
    <row r="214" spans="1:7" ht="28.8" x14ac:dyDescent="0.3">
      <c r="A214" s="10">
        <v>213</v>
      </c>
      <c r="B214" s="10" t="s">
        <v>406</v>
      </c>
      <c r="C214" s="10" t="s">
        <v>118</v>
      </c>
      <c r="D214" s="10" t="s">
        <v>238</v>
      </c>
      <c r="E214" s="10" t="s">
        <v>204</v>
      </c>
      <c r="F214" s="10" t="s">
        <v>409</v>
      </c>
      <c r="G214" s="10" t="s">
        <v>410</v>
      </c>
    </row>
    <row r="215" spans="1:7" ht="28.8" x14ac:dyDescent="0.3">
      <c r="A215" s="10">
        <v>214</v>
      </c>
      <c r="B215" s="10" t="s">
        <v>406</v>
      </c>
      <c r="C215" s="10" t="s">
        <v>118</v>
      </c>
      <c r="D215" s="10" t="s">
        <v>234</v>
      </c>
      <c r="E215" s="10" t="s">
        <v>238</v>
      </c>
      <c r="F215" s="10" t="s">
        <v>409</v>
      </c>
      <c r="G215" s="10" t="s">
        <v>410</v>
      </c>
    </row>
    <row r="216" spans="1:7" ht="28.8" x14ac:dyDescent="0.3">
      <c r="A216" s="10">
        <v>215</v>
      </c>
      <c r="B216" s="10" t="s">
        <v>406</v>
      </c>
      <c r="C216" s="10" t="s">
        <v>118</v>
      </c>
      <c r="D216" s="10" t="s">
        <v>239</v>
      </c>
      <c r="E216" s="10" t="s">
        <v>238</v>
      </c>
      <c r="F216" s="10" t="s">
        <v>409</v>
      </c>
      <c r="G216" s="10" t="s">
        <v>410</v>
      </c>
    </row>
    <row r="217" spans="1:7" ht="28.8" x14ac:dyDescent="0.3">
      <c r="A217" s="10">
        <v>216</v>
      </c>
      <c r="B217" s="10" t="s">
        <v>406</v>
      </c>
      <c r="C217" s="10" t="s">
        <v>118</v>
      </c>
      <c r="D217" s="10" t="s">
        <v>235</v>
      </c>
      <c r="E217" s="10" t="s">
        <v>216</v>
      </c>
      <c r="F217" s="10" t="s">
        <v>409</v>
      </c>
      <c r="G217" s="10" t="s">
        <v>410</v>
      </c>
    </row>
    <row r="218" spans="1:7" ht="28.8" x14ac:dyDescent="0.3">
      <c r="A218" s="10">
        <v>217</v>
      </c>
      <c r="B218" s="10" t="s">
        <v>406</v>
      </c>
      <c r="C218" s="10" t="s">
        <v>118</v>
      </c>
      <c r="D218" s="10" t="s">
        <v>240</v>
      </c>
      <c r="E218" s="10" t="s">
        <v>216</v>
      </c>
      <c r="F218" s="10" t="s">
        <v>409</v>
      </c>
      <c r="G218" s="10" t="s">
        <v>410</v>
      </c>
    </row>
    <row r="219" spans="1:7" ht="28.8" x14ac:dyDescent="0.3">
      <c r="A219" s="10">
        <v>218</v>
      </c>
      <c r="B219" s="10" t="s">
        <v>406</v>
      </c>
      <c r="C219" s="10" t="s">
        <v>118</v>
      </c>
      <c r="D219" s="10" t="s">
        <v>236</v>
      </c>
      <c r="E219" s="10" t="s">
        <v>216</v>
      </c>
      <c r="F219" s="10" t="s">
        <v>409</v>
      </c>
      <c r="G219" s="10" t="s">
        <v>410</v>
      </c>
    </row>
    <row r="220" spans="1:7" ht="28.8" x14ac:dyDescent="0.3">
      <c r="A220" s="10">
        <v>219</v>
      </c>
      <c r="B220" s="10" t="s">
        <v>406</v>
      </c>
      <c r="C220" s="10" t="s">
        <v>118</v>
      </c>
      <c r="D220" s="10" t="s">
        <v>237</v>
      </c>
      <c r="E220" s="10" t="s">
        <v>216</v>
      </c>
      <c r="F220" s="10" t="s">
        <v>409</v>
      </c>
      <c r="G220" s="10" t="s">
        <v>410</v>
      </c>
    </row>
    <row r="221" spans="1:7" ht="28.8" x14ac:dyDescent="0.3">
      <c r="A221" s="10">
        <v>220</v>
      </c>
      <c r="B221" s="10" t="s">
        <v>411</v>
      </c>
      <c r="C221" s="10" t="s">
        <v>140</v>
      </c>
      <c r="D221" s="10" t="s">
        <v>214</v>
      </c>
      <c r="E221" s="10" t="s">
        <v>197</v>
      </c>
      <c r="F221" s="10" t="s">
        <v>320</v>
      </c>
      <c r="G221" s="10" t="s">
        <v>241</v>
      </c>
    </row>
    <row r="222" spans="1:7" ht="28.8" x14ac:dyDescent="0.3">
      <c r="A222" s="10">
        <v>221</v>
      </c>
      <c r="B222" s="10" t="s">
        <v>411</v>
      </c>
      <c r="C222" s="10" t="s">
        <v>141</v>
      </c>
      <c r="D222" s="10" t="s">
        <v>197</v>
      </c>
      <c r="E222" s="10" t="s">
        <v>194</v>
      </c>
      <c r="F222" s="10" t="s">
        <v>321</v>
      </c>
      <c r="G222" s="10" t="s">
        <v>242</v>
      </c>
    </row>
    <row r="223" spans="1:7" ht="28.8" x14ac:dyDescent="0.3">
      <c r="A223" s="10">
        <v>222</v>
      </c>
      <c r="B223" s="10" t="s">
        <v>411</v>
      </c>
      <c r="C223" s="10" t="s">
        <v>142</v>
      </c>
      <c r="D223" s="10" t="s">
        <v>200</v>
      </c>
      <c r="E223" s="10" t="s">
        <v>197</v>
      </c>
      <c r="F223" s="10" t="s">
        <v>322</v>
      </c>
      <c r="G223" s="10" t="s">
        <v>243</v>
      </c>
    </row>
    <row r="224" spans="1:7" ht="28.8" x14ac:dyDescent="0.3">
      <c r="A224" s="10">
        <v>223</v>
      </c>
      <c r="B224" s="10" t="s">
        <v>411</v>
      </c>
      <c r="C224" s="10" t="s">
        <v>143</v>
      </c>
      <c r="D224" s="10" t="s">
        <v>230</v>
      </c>
      <c r="E224" s="10" t="s">
        <v>197</v>
      </c>
      <c r="F224" s="10" t="s">
        <v>323</v>
      </c>
      <c r="G224" s="10" t="s">
        <v>244</v>
      </c>
    </row>
    <row r="225" spans="1:7" ht="28.8" x14ac:dyDescent="0.3">
      <c r="A225" s="10">
        <v>224</v>
      </c>
      <c r="B225" s="10" t="s">
        <v>411</v>
      </c>
      <c r="C225" s="10" t="s">
        <v>144</v>
      </c>
      <c r="D225" s="10" t="s">
        <v>201</v>
      </c>
      <c r="E225" s="10" t="s">
        <v>230</v>
      </c>
      <c r="F225" s="10" t="s">
        <v>324</v>
      </c>
      <c r="G225" s="10" t="s">
        <v>245</v>
      </c>
    </row>
    <row r="226" spans="1:7" ht="28.8" x14ac:dyDescent="0.3">
      <c r="A226" s="10">
        <v>225</v>
      </c>
      <c r="B226" s="10" t="s">
        <v>411</v>
      </c>
      <c r="C226" s="10" t="s">
        <v>145</v>
      </c>
      <c r="D226" s="10" t="s">
        <v>198</v>
      </c>
      <c r="E226" s="10" t="s">
        <v>197</v>
      </c>
      <c r="F226" s="10" t="s">
        <v>325</v>
      </c>
      <c r="G226" s="10" t="s">
        <v>246</v>
      </c>
    </row>
    <row r="227" spans="1:7" ht="28.8" x14ac:dyDescent="0.3">
      <c r="A227" s="10">
        <v>226</v>
      </c>
      <c r="B227" s="10" t="s">
        <v>411</v>
      </c>
      <c r="C227" s="10" t="s">
        <v>146</v>
      </c>
      <c r="D227" s="10" t="s">
        <v>199</v>
      </c>
      <c r="E227" s="10" t="s">
        <v>197</v>
      </c>
      <c r="F227" s="10" t="s">
        <v>326</v>
      </c>
      <c r="G227" s="10" t="s">
        <v>247</v>
      </c>
    </row>
    <row r="228" spans="1:7" ht="28.8" x14ac:dyDescent="0.3">
      <c r="A228" s="10">
        <v>227</v>
      </c>
      <c r="B228" s="10" t="s">
        <v>411</v>
      </c>
      <c r="C228" s="10" t="s">
        <v>147</v>
      </c>
      <c r="D228" s="10" t="s">
        <v>212</v>
      </c>
      <c r="F228" s="10" t="s">
        <v>327</v>
      </c>
      <c r="G228" s="10" t="s">
        <v>248</v>
      </c>
    </row>
    <row r="229" spans="1:7" ht="28.8" x14ac:dyDescent="0.3">
      <c r="A229" s="10">
        <v>228</v>
      </c>
      <c r="B229" s="10" t="s">
        <v>411</v>
      </c>
      <c r="C229" s="10" t="s">
        <v>148</v>
      </c>
      <c r="D229" s="10" t="s">
        <v>213</v>
      </c>
      <c r="E229" s="10" t="s">
        <v>197</v>
      </c>
      <c r="F229" s="10" t="s">
        <v>328</v>
      </c>
      <c r="G229" s="10" t="s">
        <v>249</v>
      </c>
    </row>
    <row r="230" spans="1:7" ht="28.8" x14ac:dyDescent="0.3">
      <c r="A230" s="10">
        <v>229</v>
      </c>
      <c r="B230" s="10" t="s">
        <v>411</v>
      </c>
      <c r="C230" s="10" t="s">
        <v>149</v>
      </c>
      <c r="D230" s="10" t="s">
        <v>202</v>
      </c>
      <c r="E230" s="10" t="s">
        <v>197</v>
      </c>
      <c r="F230" s="10" t="s">
        <v>329</v>
      </c>
      <c r="G230" s="10" t="s">
        <v>250</v>
      </c>
    </row>
    <row r="231" spans="1:7" ht="28.8" x14ac:dyDescent="0.3">
      <c r="A231" s="10">
        <v>230</v>
      </c>
      <c r="B231" s="10" t="s">
        <v>412</v>
      </c>
      <c r="C231" s="10" t="s">
        <v>150</v>
      </c>
      <c r="D231" s="10" t="s">
        <v>231</v>
      </c>
      <c r="E231" s="10" t="s">
        <v>192</v>
      </c>
      <c r="F231" s="10" t="s">
        <v>304</v>
      </c>
      <c r="G231" s="10" t="s">
        <v>251</v>
      </c>
    </row>
    <row r="232" spans="1:7" ht="28.8" x14ac:dyDescent="0.3">
      <c r="A232" s="10">
        <v>231</v>
      </c>
      <c r="B232" s="10" t="s">
        <v>412</v>
      </c>
      <c r="C232" s="10" t="s">
        <v>126</v>
      </c>
      <c r="D232" s="10" t="s">
        <v>191</v>
      </c>
      <c r="E232" s="10" t="s">
        <v>192</v>
      </c>
      <c r="F232" s="10" t="s">
        <v>129</v>
      </c>
      <c r="G232" s="10" t="s">
        <v>252</v>
      </c>
    </row>
    <row r="233" spans="1:7" ht="28.8" x14ac:dyDescent="0.3">
      <c r="A233" s="10">
        <v>232</v>
      </c>
      <c r="B233" s="10" t="s">
        <v>413</v>
      </c>
      <c r="C233" s="10" t="s">
        <v>151</v>
      </c>
      <c r="D233" s="10" t="s">
        <v>204</v>
      </c>
      <c r="E233" s="10" t="s">
        <v>203</v>
      </c>
      <c r="F233" s="10" t="s">
        <v>330</v>
      </c>
      <c r="G233" s="10" t="s">
        <v>253</v>
      </c>
    </row>
    <row r="234" spans="1:7" ht="28.8" x14ac:dyDescent="0.3">
      <c r="A234" s="10">
        <v>233</v>
      </c>
      <c r="B234" s="10" t="s">
        <v>413</v>
      </c>
      <c r="C234" s="10" t="s">
        <v>152</v>
      </c>
      <c r="D234" s="10" t="s">
        <v>207</v>
      </c>
      <c r="E234" s="10" t="s">
        <v>204</v>
      </c>
      <c r="F234" s="10" t="s">
        <v>331</v>
      </c>
      <c r="G234" s="10" t="s">
        <v>254</v>
      </c>
    </row>
    <row r="235" spans="1:7" ht="28.8" x14ac:dyDescent="0.3">
      <c r="A235" s="10">
        <v>234</v>
      </c>
      <c r="B235" s="10" t="s">
        <v>413</v>
      </c>
      <c r="C235" s="10" t="s">
        <v>153</v>
      </c>
      <c r="D235" s="10" t="s">
        <v>208</v>
      </c>
      <c r="E235" s="10" t="s">
        <v>204</v>
      </c>
      <c r="F235" s="10" t="s">
        <v>332</v>
      </c>
      <c r="G235" s="10" t="s">
        <v>255</v>
      </c>
    </row>
    <row r="236" spans="1:7" ht="28.8" x14ac:dyDescent="0.3">
      <c r="A236" s="10">
        <v>235</v>
      </c>
      <c r="B236" s="10" t="s">
        <v>413</v>
      </c>
      <c r="C236" s="10" t="s">
        <v>154</v>
      </c>
      <c r="D236" s="10" t="s">
        <v>209</v>
      </c>
      <c r="E236" s="10" t="s">
        <v>204</v>
      </c>
      <c r="F236" s="10" t="s">
        <v>333</v>
      </c>
      <c r="G236" s="10" t="s">
        <v>256</v>
      </c>
    </row>
    <row r="237" spans="1:7" ht="28.8" x14ac:dyDescent="0.3">
      <c r="A237" s="10">
        <v>236</v>
      </c>
      <c r="B237" s="10" t="s">
        <v>413</v>
      </c>
      <c r="C237" s="10" t="s">
        <v>155</v>
      </c>
      <c r="D237" s="10" t="s">
        <v>206</v>
      </c>
      <c r="E237" s="10" t="s">
        <v>204</v>
      </c>
      <c r="F237" s="10" t="s">
        <v>334</v>
      </c>
      <c r="G237" s="10" t="s">
        <v>257</v>
      </c>
    </row>
    <row r="238" spans="1:7" ht="28.8" x14ac:dyDescent="0.3">
      <c r="A238" s="10">
        <v>237</v>
      </c>
      <c r="B238" s="10" t="s">
        <v>413</v>
      </c>
      <c r="C238" s="10" t="s">
        <v>156</v>
      </c>
      <c r="D238" s="10" t="s">
        <v>205</v>
      </c>
      <c r="E238" s="10" t="s">
        <v>204</v>
      </c>
      <c r="F238" s="10" t="s">
        <v>335</v>
      </c>
      <c r="G238" s="10" t="s">
        <v>258</v>
      </c>
    </row>
    <row r="239" spans="1:7" ht="28.8" x14ac:dyDescent="0.3">
      <c r="A239" s="10">
        <v>238</v>
      </c>
      <c r="B239" s="10" t="s">
        <v>413</v>
      </c>
      <c r="C239" s="10" t="s">
        <v>157</v>
      </c>
      <c r="D239" s="10" t="s">
        <v>238</v>
      </c>
      <c r="E239" s="10" t="s">
        <v>204</v>
      </c>
      <c r="F239" s="10" t="s">
        <v>336</v>
      </c>
      <c r="G239" s="10" t="s">
        <v>259</v>
      </c>
    </row>
    <row r="240" spans="1:7" ht="28.8" x14ac:dyDescent="0.3">
      <c r="A240" s="10">
        <v>239</v>
      </c>
      <c r="B240" s="10" t="s">
        <v>413</v>
      </c>
      <c r="C240" s="10" t="s">
        <v>158</v>
      </c>
      <c r="D240" s="10" t="s">
        <v>210</v>
      </c>
      <c r="E240" s="10" t="s">
        <v>205</v>
      </c>
      <c r="F240" s="10" t="s">
        <v>337</v>
      </c>
      <c r="G240" s="10" t="s">
        <v>260</v>
      </c>
    </row>
    <row r="241" spans="1:7" ht="28.8" x14ac:dyDescent="0.3">
      <c r="A241" s="10">
        <v>240</v>
      </c>
      <c r="B241" s="10" t="s">
        <v>413</v>
      </c>
      <c r="C241" s="10" t="s">
        <v>159</v>
      </c>
      <c r="D241" s="10" t="s">
        <v>234</v>
      </c>
      <c r="E241" s="10" t="s">
        <v>238</v>
      </c>
      <c r="F241" s="10" t="s">
        <v>338</v>
      </c>
      <c r="G241" s="10" t="s">
        <v>261</v>
      </c>
    </row>
    <row r="242" spans="1:7" x14ac:dyDescent="0.3">
      <c r="A242" s="10">
        <v>241</v>
      </c>
      <c r="B242" s="10" t="s">
        <v>413</v>
      </c>
      <c r="C242" s="10" t="s">
        <v>138</v>
      </c>
      <c r="D242" s="10" t="s">
        <v>222</v>
      </c>
      <c r="E242" s="10" t="s">
        <v>216</v>
      </c>
    </row>
    <row r="243" spans="1:7" ht="28.8" x14ac:dyDescent="0.3">
      <c r="A243" s="10">
        <v>242</v>
      </c>
      <c r="B243" s="10" t="s">
        <v>413</v>
      </c>
      <c r="C243" s="10" t="s">
        <v>160</v>
      </c>
      <c r="D243" s="10" t="s">
        <v>215</v>
      </c>
      <c r="E243" s="10" t="s">
        <v>201</v>
      </c>
      <c r="F243" s="10" t="s">
        <v>339</v>
      </c>
      <c r="G243" s="10" t="s">
        <v>262</v>
      </c>
    </row>
    <row r="244" spans="1:7" ht="28.8" x14ac:dyDescent="0.3">
      <c r="A244" s="10">
        <v>243</v>
      </c>
      <c r="B244" s="10" t="s">
        <v>413</v>
      </c>
      <c r="C244" s="10" t="s">
        <v>161</v>
      </c>
      <c r="D244" s="10" t="s">
        <v>217</v>
      </c>
      <c r="E244" s="10" t="s">
        <v>216</v>
      </c>
      <c r="F244" s="10" t="s">
        <v>340</v>
      </c>
      <c r="G244" s="10" t="s">
        <v>263</v>
      </c>
    </row>
    <row r="245" spans="1:7" ht="28.8" x14ac:dyDescent="0.3">
      <c r="A245" s="10">
        <v>244</v>
      </c>
      <c r="B245" s="10" t="s">
        <v>413</v>
      </c>
      <c r="C245" s="10" t="s">
        <v>162</v>
      </c>
      <c r="D245" s="10" t="s">
        <v>203</v>
      </c>
      <c r="E245" s="10" t="s">
        <v>215</v>
      </c>
      <c r="F245" s="10" t="s">
        <v>341</v>
      </c>
      <c r="G245" s="10" t="s">
        <v>264</v>
      </c>
    </row>
    <row r="246" spans="1:7" ht="28.8" x14ac:dyDescent="0.3">
      <c r="A246" s="10">
        <v>245</v>
      </c>
      <c r="B246" s="10" t="s">
        <v>413</v>
      </c>
      <c r="C246" s="10" t="s">
        <v>163</v>
      </c>
      <c r="D246" s="10" t="s">
        <v>216</v>
      </c>
      <c r="E246" s="10" t="s">
        <v>203</v>
      </c>
      <c r="F246" s="10" t="s">
        <v>342</v>
      </c>
      <c r="G246" s="10" t="s">
        <v>265</v>
      </c>
    </row>
    <row r="247" spans="1:7" ht="28.8" x14ac:dyDescent="0.3">
      <c r="A247" s="10">
        <v>246</v>
      </c>
      <c r="B247" s="10" t="s">
        <v>413</v>
      </c>
      <c r="C247" s="10" t="s">
        <v>164</v>
      </c>
      <c r="D247" s="10" t="s">
        <v>211</v>
      </c>
      <c r="E247" s="10" t="s">
        <v>210</v>
      </c>
      <c r="F247" s="10" t="s">
        <v>343</v>
      </c>
      <c r="G247" s="10" t="s">
        <v>266</v>
      </c>
    </row>
    <row r="248" spans="1:7" ht="28.8" x14ac:dyDescent="0.3">
      <c r="A248" s="10">
        <v>247</v>
      </c>
      <c r="B248" s="10" t="s">
        <v>413</v>
      </c>
      <c r="C248" s="10" t="s">
        <v>165</v>
      </c>
      <c r="D248" s="10" t="s">
        <v>239</v>
      </c>
      <c r="E248" s="10" t="s">
        <v>238</v>
      </c>
      <c r="F248" s="10" t="s">
        <v>344</v>
      </c>
      <c r="G248" s="10" t="s">
        <v>267</v>
      </c>
    </row>
    <row r="249" spans="1:7" ht="28.8" x14ac:dyDescent="0.3">
      <c r="A249" s="10">
        <v>248</v>
      </c>
      <c r="B249" s="10" t="s">
        <v>413</v>
      </c>
      <c r="C249" s="10" t="s">
        <v>166</v>
      </c>
      <c r="D249" s="10" t="s">
        <v>220</v>
      </c>
      <c r="E249" s="10" t="s">
        <v>216</v>
      </c>
      <c r="F249" s="10" t="s">
        <v>345</v>
      </c>
      <c r="G249" s="10" t="s">
        <v>268</v>
      </c>
    </row>
    <row r="250" spans="1:7" ht="28.8" x14ac:dyDescent="0.3">
      <c r="A250" s="10">
        <v>249</v>
      </c>
      <c r="B250" s="10" t="s">
        <v>413</v>
      </c>
      <c r="C250" s="10" t="s">
        <v>167</v>
      </c>
      <c r="D250" s="10" t="s">
        <v>218</v>
      </c>
      <c r="E250" s="10" t="s">
        <v>204</v>
      </c>
      <c r="F250" s="10" t="s">
        <v>346</v>
      </c>
      <c r="G250" s="10" t="s">
        <v>269</v>
      </c>
    </row>
    <row r="251" spans="1:7" ht="28.8" x14ac:dyDescent="0.3">
      <c r="A251" s="10">
        <v>250</v>
      </c>
      <c r="B251" s="10" t="s">
        <v>413</v>
      </c>
      <c r="C251" s="10" t="s">
        <v>168</v>
      </c>
      <c r="D251" s="10" t="s">
        <v>219</v>
      </c>
      <c r="E251" s="10" t="s">
        <v>204</v>
      </c>
      <c r="F251" s="10" t="s">
        <v>347</v>
      </c>
      <c r="G251" s="10" t="s">
        <v>270</v>
      </c>
    </row>
    <row r="252" spans="1:7" ht="28.8" x14ac:dyDescent="0.3">
      <c r="A252" s="10">
        <v>251</v>
      </c>
      <c r="B252" s="10" t="s">
        <v>413</v>
      </c>
      <c r="C252" s="10" t="s">
        <v>169</v>
      </c>
      <c r="D252" s="10" t="s">
        <v>221</v>
      </c>
      <c r="E252" s="10" t="s">
        <v>216</v>
      </c>
      <c r="F252" s="10" t="s">
        <v>348</v>
      </c>
      <c r="G252" s="10" t="s">
        <v>271</v>
      </c>
    </row>
    <row r="253" spans="1:7" ht="28.8" x14ac:dyDescent="0.3">
      <c r="A253" s="10">
        <v>252</v>
      </c>
      <c r="B253" s="10" t="s">
        <v>413</v>
      </c>
      <c r="C253" s="10" t="s">
        <v>170</v>
      </c>
      <c r="D253" s="10" t="s">
        <v>232</v>
      </c>
      <c r="E253" s="10" t="s">
        <v>230</v>
      </c>
      <c r="F253" s="10" t="s">
        <v>349</v>
      </c>
      <c r="G253" s="10" t="s">
        <v>272</v>
      </c>
    </row>
    <row r="254" spans="1:7" ht="28.8" x14ac:dyDescent="0.3">
      <c r="A254" s="10">
        <v>253</v>
      </c>
      <c r="B254" s="10" t="s">
        <v>413</v>
      </c>
      <c r="C254" s="10" t="s">
        <v>171</v>
      </c>
      <c r="D254" s="10" t="s">
        <v>237</v>
      </c>
      <c r="E254" s="10" t="s">
        <v>216</v>
      </c>
      <c r="F254" s="10" t="s">
        <v>350</v>
      </c>
      <c r="G254" s="10" t="s">
        <v>273</v>
      </c>
    </row>
    <row r="255" spans="1:7" ht="28.8" x14ac:dyDescent="0.3">
      <c r="A255" s="10">
        <v>254</v>
      </c>
      <c r="B255" s="10" t="s">
        <v>413</v>
      </c>
      <c r="C255" s="10" t="s">
        <v>172</v>
      </c>
      <c r="D255" s="10" t="s">
        <v>235</v>
      </c>
      <c r="E255" s="10" t="s">
        <v>216</v>
      </c>
      <c r="F255" s="10" t="s">
        <v>351</v>
      </c>
      <c r="G255" s="10" t="s">
        <v>274</v>
      </c>
    </row>
    <row r="256" spans="1:7" ht="28.8" x14ac:dyDescent="0.3">
      <c r="A256" s="10">
        <v>255</v>
      </c>
      <c r="B256" s="10" t="s">
        <v>413</v>
      </c>
      <c r="C256" s="10" t="s">
        <v>173</v>
      </c>
      <c r="D256" s="10" t="s">
        <v>240</v>
      </c>
      <c r="E256" s="10" t="s">
        <v>216</v>
      </c>
      <c r="F256" s="10" t="s">
        <v>352</v>
      </c>
      <c r="G256" s="10" t="s">
        <v>275</v>
      </c>
    </row>
    <row r="257" spans="1:7" ht="28.8" x14ac:dyDescent="0.3">
      <c r="A257" s="10">
        <v>256</v>
      </c>
      <c r="B257" s="10" t="s">
        <v>413</v>
      </c>
      <c r="C257" s="10" t="s">
        <v>174</v>
      </c>
      <c r="D257" s="10" t="s">
        <v>233</v>
      </c>
      <c r="E257" s="10" t="s">
        <v>216</v>
      </c>
      <c r="F257" s="10" t="s">
        <v>353</v>
      </c>
      <c r="G257" s="10" t="s">
        <v>276</v>
      </c>
    </row>
    <row r="258" spans="1:7" ht="28.8" x14ac:dyDescent="0.3">
      <c r="A258" s="10">
        <v>257</v>
      </c>
      <c r="B258" s="10" t="s">
        <v>413</v>
      </c>
      <c r="C258" s="10" t="s">
        <v>175</v>
      </c>
      <c r="D258" s="10" t="s">
        <v>236</v>
      </c>
      <c r="E258" s="10" t="s">
        <v>216</v>
      </c>
      <c r="F258" s="10" t="s">
        <v>354</v>
      </c>
      <c r="G258" s="10" t="s">
        <v>277</v>
      </c>
    </row>
    <row r="259" spans="1:7" ht="28.8" x14ac:dyDescent="0.3">
      <c r="A259" s="10">
        <v>258</v>
      </c>
      <c r="B259" s="10" t="s">
        <v>413</v>
      </c>
      <c r="C259" s="10" t="s">
        <v>176</v>
      </c>
      <c r="D259" s="10" t="s">
        <v>223</v>
      </c>
      <c r="E259" s="10" t="s">
        <v>204</v>
      </c>
      <c r="F259" s="10" t="s">
        <v>355</v>
      </c>
      <c r="G259" s="10" t="s">
        <v>278</v>
      </c>
    </row>
    <row r="260" spans="1:7" ht="28.8" x14ac:dyDescent="0.3">
      <c r="A260" s="10">
        <v>259</v>
      </c>
      <c r="B260" s="10" t="s">
        <v>414</v>
      </c>
      <c r="C260" s="10" t="s">
        <v>177</v>
      </c>
      <c r="F260" s="10" t="s">
        <v>305</v>
      </c>
      <c r="G260" s="10" t="s">
        <v>279</v>
      </c>
    </row>
    <row r="261" spans="1:7" ht="28.8" x14ac:dyDescent="0.3">
      <c r="A261" s="10">
        <v>260</v>
      </c>
      <c r="B261" s="10" t="s">
        <v>414</v>
      </c>
      <c r="C261" s="10" t="s">
        <v>178</v>
      </c>
      <c r="F261" s="10" t="s">
        <v>306</v>
      </c>
      <c r="G261" s="10" t="s">
        <v>280</v>
      </c>
    </row>
    <row r="262" spans="1:7" ht="28.8" x14ac:dyDescent="0.3">
      <c r="A262" s="10">
        <v>261</v>
      </c>
      <c r="B262" s="10" t="s">
        <v>414</v>
      </c>
      <c r="C262" s="10" t="s">
        <v>179</v>
      </c>
      <c r="F262" s="10" t="s">
        <v>307</v>
      </c>
      <c r="G262" s="10" t="s">
        <v>281</v>
      </c>
    </row>
    <row r="263" spans="1:7" ht="28.8" x14ac:dyDescent="0.3">
      <c r="A263" s="10">
        <v>262</v>
      </c>
      <c r="B263" s="10" t="s">
        <v>414</v>
      </c>
      <c r="C263" s="10" t="s">
        <v>180</v>
      </c>
      <c r="F263" s="10" t="s">
        <v>308</v>
      </c>
      <c r="G263" s="10" t="s">
        <v>282</v>
      </c>
    </row>
    <row r="264" spans="1:7" ht="28.8" x14ac:dyDescent="0.3">
      <c r="A264" s="10">
        <v>263</v>
      </c>
      <c r="B264" s="10" t="s">
        <v>414</v>
      </c>
      <c r="C264" s="10" t="s">
        <v>120</v>
      </c>
      <c r="F264" s="10" t="s">
        <v>130</v>
      </c>
      <c r="G264" s="10" t="s">
        <v>283</v>
      </c>
    </row>
    <row r="265" spans="1:7" ht="28.8" x14ac:dyDescent="0.3">
      <c r="A265" s="10">
        <v>264</v>
      </c>
      <c r="B265" s="10" t="s">
        <v>414</v>
      </c>
      <c r="C265" s="10" t="s">
        <v>121</v>
      </c>
      <c r="F265" s="10" t="s">
        <v>131</v>
      </c>
      <c r="G265" s="10" t="s">
        <v>284</v>
      </c>
    </row>
    <row r="266" spans="1:7" ht="28.8" x14ac:dyDescent="0.3">
      <c r="A266" s="10">
        <v>265</v>
      </c>
      <c r="B266" s="10" t="s">
        <v>415</v>
      </c>
      <c r="C266" s="10" t="s">
        <v>181</v>
      </c>
      <c r="D266" s="10" t="s">
        <v>225</v>
      </c>
      <c r="F266" s="10" t="s">
        <v>309</v>
      </c>
      <c r="G266" s="10" t="s">
        <v>285</v>
      </c>
    </row>
    <row r="267" spans="1:7" ht="28.8" x14ac:dyDescent="0.3">
      <c r="A267" s="10">
        <v>266</v>
      </c>
      <c r="B267" s="10" t="s">
        <v>415</v>
      </c>
      <c r="C267" s="10" t="s">
        <v>139</v>
      </c>
      <c r="F267" s="10" t="s">
        <v>310</v>
      </c>
      <c r="G267" s="10" t="s">
        <v>286</v>
      </c>
    </row>
    <row r="268" spans="1:7" ht="28.8" x14ac:dyDescent="0.3">
      <c r="A268" s="10">
        <v>267</v>
      </c>
      <c r="B268" s="10" t="s">
        <v>415</v>
      </c>
      <c r="C268" s="10" t="s">
        <v>182</v>
      </c>
      <c r="F268" s="10" t="s">
        <v>311</v>
      </c>
      <c r="G268" s="10" t="s">
        <v>287</v>
      </c>
    </row>
    <row r="269" spans="1:7" ht="28.8" x14ac:dyDescent="0.3">
      <c r="A269" s="10">
        <v>268</v>
      </c>
      <c r="B269" s="10" t="s">
        <v>416</v>
      </c>
      <c r="C269" s="10" t="s">
        <v>183</v>
      </c>
      <c r="D269" s="10" t="s">
        <v>226</v>
      </c>
      <c r="E269" s="10" t="s">
        <v>194</v>
      </c>
      <c r="F269" s="10" t="s">
        <v>312</v>
      </c>
      <c r="G269" s="10" t="s">
        <v>288</v>
      </c>
    </row>
    <row r="270" spans="1:7" ht="28.8" x14ac:dyDescent="0.3">
      <c r="A270" s="10">
        <v>269</v>
      </c>
      <c r="B270" s="10" t="s">
        <v>416</v>
      </c>
      <c r="C270" s="10" t="s">
        <v>184</v>
      </c>
      <c r="D270" s="10" t="s">
        <v>224</v>
      </c>
      <c r="E270" s="10" t="s">
        <v>194</v>
      </c>
      <c r="F270" s="10" t="s">
        <v>313</v>
      </c>
      <c r="G270" s="10" t="s">
        <v>289</v>
      </c>
    </row>
    <row r="271" spans="1:7" ht="28.8" x14ac:dyDescent="0.3">
      <c r="A271" s="10">
        <v>270</v>
      </c>
      <c r="B271" s="10" t="s">
        <v>416</v>
      </c>
      <c r="C271" s="10" t="s">
        <v>185</v>
      </c>
      <c r="D271" s="10" t="s">
        <v>228</v>
      </c>
      <c r="E271" s="10" t="s">
        <v>194</v>
      </c>
      <c r="F271" s="10" t="s">
        <v>314</v>
      </c>
      <c r="G271" s="10" t="s">
        <v>290</v>
      </c>
    </row>
    <row r="272" spans="1:7" ht="28.8" x14ac:dyDescent="0.3">
      <c r="A272" s="10">
        <v>271</v>
      </c>
      <c r="B272" s="10" t="s">
        <v>416</v>
      </c>
      <c r="C272" s="10" t="s">
        <v>186</v>
      </c>
      <c r="D272" s="10" t="s">
        <v>229</v>
      </c>
      <c r="E272" s="10" t="s">
        <v>228</v>
      </c>
      <c r="F272" s="10" t="s">
        <v>315</v>
      </c>
      <c r="G272" s="10" t="s">
        <v>291</v>
      </c>
    </row>
    <row r="273" spans="1:7" ht="28.8" x14ac:dyDescent="0.3">
      <c r="A273" s="10">
        <v>272</v>
      </c>
      <c r="B273" s="10" t="s">
        <v>416</v>
      </c>
      <c r="C273" s="10" t="s">
        <v>127</v>
      </c>
      <c r="D273" s="10" t="s">
        <v>193</v>
      </c>
      <c r="E273" s="10" t="s">
        <v>194</v>
      </c>
      <c r="F273" s="10" t="s">
        <v>132</v>
      </c>
      <c r="G273" s="10" t="s">
        <v>292</v>
      </c>
    </row>
    <row r="274" spans="1:7" ht="28.8" x14ac:dyDescent="0.3">
      <c r="A274" s="10">
        <v>273</v>
      </c>
      <c r="B274" s="10" t="s">
        <v>416</v>
      </c>
      <c r="C274" s="10" t="s">
        <v>187</v>
      </c>
      <c r="D274" s="10" t="s">
        <v>227</v>
      </c>
      <c r="E274" s="10" t="s">
        <v>194</v>
      </c>
      <c r="F274" s="10" t="s">
        <v>316</v>
      </c>
      <c r="G274" s="10" t="s">
        <v>293</v>
      </c>
    </row>
    <row r="275" spans="1:7" ht="28.8" x14ac:dyDescent="0.3">
      <c r="A275" s="10">
        <v>274</v>
      </c>
      <c r="B275" s="10" t="s">
        <v>416</v>
      </c>
      <c r="C275" s="10" t="s">
        <v>188</v>
      </c>
      <c r="D275" s="10" t="s">
        <v>196</v>
      </c>
      <c r="E275" s="10" t="s">
        <v>194</v>
      </c>
      <c r="F275" s="10" t="s">
        <v>317</v>
      </c>
      <c r="G275" s="10" t="s">
        <v>294</v>
      </c>
    </row>
    <row r="276" spans="1:7" ht="28.8" x14ac:dyDescent="0.3">
      <c r="A276" s="10">
        <v>275</v>
      </c>
      <c r="B276" s="10" t="s">
        <v>416</v>
      </c>
      <c r="C276" s="10" t="s">
        <v>128</v>
      </c>
      <c r="D276" s="10" t="s">
        <v>195</v>
      </c>
      <c r="E276" s="10" t="s">
        <v>194</v>
      </c>
      <c r="F276" s="10" t="s">
        <v>133</v>
      </c>
      <c r="G276" s="10" t="s">
        <v>295</v>
      </c>
    </row>
    <row r="277" spans="1:7" ht="28.8" x14ac:dyDescent="0.3">
      <c r="A277" s="10">
        <v>276</v>
      </c>
      <c r="B277" s="10" t="s">
        <v>417</v>
      </c>
      <c r="C277" s="10" t="s">
        <v>117</v>
      </c>
      <c r="F277" s="10" t="s">
        <v>134</v>
      </c>
      <c r="G277" s="10" t="s">
        <v>296</v>
      </c>
    </row>
    <row r="278" spans="1:7" ht="28.8" x14ac:dyDescent="0.3">
      <c r="A278" s="10">
        <v>277</v>
      </c>
      <c r="B278" s="10" t="s">
        <v>417</v>
      </c>
      <c r="C278" s="10" t="s">
        <v>118</v>
      </c>
      <c r="F278" s="10" t="s">
        <v>135</v>
      </c>
      <c r="G278" s="10" t="s">
        <v>297</v>
      </c>
    </row>
    <row r="279" spans="1:7" ht="28.8" x14ac:dyDescent="0.3">
      <c r="A279" s="10">
        <v>278</v>
      </c>
      <c r="B279" s="10" t="s">
        <v>417</v>
      </c>
      <c r="C279" s="10" t="s">
        <v>119</v>
      </c>
      <c r="F279" s="10" t="s">
        <v>136</v>
      </c>
      <c r="G279" s="10" t="s">
        <v>298</v>
      </c>
    </row>
    <row r="280" spans="1:7" ht="28.8" x14ac:dyDescent="0.3">
      <c r="A280" s="10">
        <v>279</v>
      </c>
      <c r="B280" s="10" t="s">
        <v>417</v>
      </c>
      <c r="C280" s="10" t="s">
        <v>189</v>
      </c>
      <c r="D280" s="10" t="s">
        <v>215</v>
      </c>
      <c r="E280" s="10" t="s">
        <v>201</v>
      </c>
      <c r="F280" s="10" t="s">
        <v>318</v>
      </c>
      <c r="G280" s="10" t="s">
        <v>299</v>
      </c>
    </row>
    <row r="281" spans="1:7" ht="28.8" x14ac:dyDescent="0.3">
      <c r="A281" s="10">
        <v>280</v>
      </c>
      <c r="B281" s="10" t="s">
        <v>417</v>
      </c>
      <c r="C281" s="10" t="s">
        <v>190</v>
      </c>
      <c r="F281" s="10" t="s">
        <v>319</v>
      </c>
      <c r="G281" s="10" t="s">
        <v>300</v>
      </c>
    </row>
    <row r="282" spans="1:7" ht="28.8" x14ac:dyDescent="0.3">
      <c r="A282" s="10">
        <v>281</v>
      </c>
      <c r="B282" s="10" t="s">
        <v>417</v>
      </c>
      <c r="C282" s="10" t="s">
        <v>116</v>
      </c>
      <c r="F282" s="10" t="s">
        <v>137</v>
      </c>
      <c r="G282" s="10" t="s">
        <v>301</v>
      </c>
    </row>
  </sheetData>
  <autoFilter ref="A1:G1" xr:uid="{136B5B40-94A3-4421-BFB7-153F1217A494}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sheetPr codeName="Sheet3"/>
  <dimension ref="B1:I27"/>
  <sheetViews>
    <sheetView topLeftCell="B1" workbookViewId="0">
      <selection activeCell="I12" sqref="I12:I14"/>
    </sheetView>
  </sheetViews>
  <sheetFormatPr defaultRowHeight="14.4" x14ac:dyDescent="0.3"/>
  <cols>
    <col min="2" max="2" width="22" bestFit="1" customWidth="1"/>
    <col min="3" max="3" width="26.33203125" bestFit="1" customWidth="1"/>
    <col min="4" max="4" width="46.88671875" bestFit="1" customWidth="1"/>
    <col min="5" max="5" width="35.77734375" bestFit="1" customWidth="1"/>
    <col min="7" max="7" width="21.109375" bestFit="1" customWidth="1"/>
    <col min="8" max="8" width="22" bestFit="1" customWidth="1"/>
    <col min="9" max="9" width="46.664062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112</v>
      </c>
    </row>
    <row r="2" spans="2:9" x14ac:dyDescent="0.3">
      <c r="B2" t="s">
        <v>454</v>
      </c>
      <c r="C2" t="str">
        <f>UPPER(SUBSTITUTE(B2,".","_"))</f>
        <v>SELECT_MQH</v>
      </c>
      <c r="D2" t="str">
        <f>"#ifndef __"&amp;C$2&amp;"__"</f>
        <v>#ifndef __SELECT_MQH__</v>
      </c>
      <c r="G2" t="str">
        <f>"C"&amp;C2</f>
        <v>CSELECT_MQH</v>
      </c>
      <c r="H2" t="str">
        <f>UPPER(G2)</f>
        <v>CSELECT_MQH</v>
      </c>
      <c r="I2" t="str">
        <f>"#ifndef "&amp;$H2</f>
        <v>#ifndef CSELECT_MQH</v>
      </c>
    </row>
    <row r="3" spans="2:9" x14ac:dyDescent="0.3">
      <c r="D3" t="str">
        <f>"#define __" &amp; C2&amp;"__"</f>
        <v>#define __SELECT_MQH__</v>
      </c>
      <c r="I3" t="str">
        <f>"#define " &amp; $H2</f>
        <v>#define CSELECT_MQH</v>
      </c>
    </row>
    <row r="4" spans="2:9" x14ac:dyDescent="0.3">
      <c r="D4" t="str">
        <f>"#endif // __" &amp;C2&amp;"__"</f>
        <v>#endif // __SELECT_MQH__</v>
      </c>
      <c r="I4" t="str">
        <f>"#endif // " &amp;$H2</f>
        <v>#endif // CSELECT_MQH</v>
      </c>
    </row>
    <row r="6" spans="2:9" x14ac:dyDescent="0.3">
      <c r="C6" t="s">
        <v>115</v>
      </c>
      <c r="D6" t="str">
        <f>"#ifndef "&amp;C6&amp;"_"&amp;C2</f>
        <v>#ifndef MOVE_TO_SELECT_MQH</v>
      </c>
    </row>
    <row r="7" spans="2:9" x14ac:dyDescent="0.3">
      <c r="D7" t="str">
        <f>"#define " &amp; C6&amp;"_"&amp;C2</f>
        <v>#define MOVE_TO_SELECT_MQH</v>
      </c>
      <c r="H7" t="s">
        <v>113</v>
      </c>
      <c r="I7" t="str">
        <f>"#ifndef "&amp;$H$2&amp;"_"&amp;$H7</f>
        <v>#ifndef CSELECT_MQH_DECLARATION</v>
      </c>
    </row>
    <row r="8" spans="2:9" x14ac:dyDescent="0.3">
      <c r="D8" t="str">
        <f>"#endif // " &amp;C6&amp;"_"&amp;C2</f>
        <v>#endif // MOVE_TO_SELECT_MQH</v>
      </c>
      <c r="I8" t="str">
        <f>"#define " &amp; $H$2&amp;"_"&amp;H7</f>
        <v>#define CSELECT_MQH_DECLARATION</v>
      </c>
    </row>
    <row r="9" spans="2:9" x14ac:dyDescent="0.3">
      <c r="I9" t="str">
        <f>"#endif // " &amp;$H2&amp;"_"&amp;H7</f>
        <v>#endif // CSELECT_MQH_DECLARATION</v>
      </c>
    </row>
    <row r="10" spans="2:9" x14ac:dyDescent="0.3">
      <c r="B10" t="s">
        <v>453</v>
      </c>
      <c r="C10" t="str">
        <f>UPPER(SUBSTITUTE(B10,".","_"))</f>
        <v>CMAINPROGRAM_ONINITEVENT</v>
      </c>
      <c r="D10" t="str">
        <f>"#ifndef __"&amp;C6&amp;"_"&amp;C$10&amp;"__"</f>
        <v>#ifndef __MOVE_TO_CMAINPROGRAM_ONINITEVENT__</v>
      </c>
    </row>
    <row r="11" spans="2:9" x14ac:dyDescent="0.3">
      <c r="D11" t="str">
        <f>"#define __" &amp; C6&amp;"_"&amp;C10&amp;"__"</f>
        <v>#define __MOVE_TO_CMAINPROGRAM_ONINITEVENT__</v>
      </c>
    </row>
    <row r="12" spans="2:9" x14ac:dyDescent="0.3">
      <c r="D12" t="str">
        <f>"#endif // " &amp;C6&amp;"_"&amp;C10&amp;"__"</f>
        <v>#endif // MOVE_TO_CMAINPROGRAM_ONINITEVENT__</v>
      </c>
      <c r="H12" t="s">
        <v>114</v>
      </c>
      <c r="I12" t="str">
        <f>"#ifndef "&amp;$H$2&amp;"_"&amp;$H12</f>
        <v>#ifndef CSELECT_MQH_IMPLEMENTATION</v>
      </c>
    </row>
    <row r="13" spans="2:9" x14ac:dyDescent="0.3">
      <c r="I13" t="str">
        <f>"#define " &amp; $H$2&amp;"_"&amp;H12</f>
        <v>#define CSELECT_MQH_IMPLEMENTATION</v>
      </c>
    </row>
    <row r="14" spans="2:9" x14ac:dyDescent="0.3">
      <c r="I14" t="str">
        <f>"#endif // " &amp;H2&amp;"_"&amp;H12</f>
        <v>#endif // CSELECT_MQH_IMPLEMENTATION</v>
      </c>
    </row>
    <row r="15" spans="2:9" x14ac:dyDescent="0.3">
      <c r="C15" t="s">
        <v>421</v>
      </c>
    </row>
    <row r="16" spans="2:9" x14ac:dyDescent="0.3">
      <c r="B16" t="s">
        <v>233</v>
      </c>
      <c r="C16" t="str">
        <f>UPPER(SUBSTITUTE(B16,".","_"))</f>
        <v>CTABLEROWVIEW</v>
      </c>
      <c r="D16" t="str">
        <f>"#ifndef __"&amp;C15&amp;"_"&amp;C$16&amp;"_CLASS__"</f>
        <v>#ifndef __MOVE_FROM_CTABLEROWVIEW_CLASS__</v>
      </c>
    </row>
    <row r="17" spans="2:5" x14ac:dyDescent="0.3">
      <c r="D17" t="str">
        <f>"#define __" &amp; C15&amp;"_"&amp;C16&amp;"_CLASS__"</f>
        <v>#define __MOVE_FROM_CTABLEROWVIEW_CLASS__</v>
      </c>
    </row>
    <row r="18" spans="2:5" x14ac:dyDescent="0.3">
      <c r="D18" t="str">
        <f>"#endif // " &amp;C15&amp;"_"&amp;C16&amp;"_CLASS__"</f>
        <v>#endif // MOVE_FROM_CTABLEROWVIEW_CLASS__</v>
      </c>
    </row>
    <row r="21" spans="2:5" x14ac:dyDescent="0.3">
      <c r="B21" t="s">
        <v>451</v>
      </c>
      <c r="C21" t="str">
        <f>UPPER(SUBSTITUTE(B21,".","_"))</f>
        <v>KNOW</v>
      </c>
      <c r="D21" t="str">
        <f>"#ifndef __"&amp;C$21&amp;"__"</f>
        <v>#ifndef __KNOW__</v>
      </c>
      <c r="E21" t="str">
        <f>"#ifndef _"&amp;C$21&amp;"_DECLARATION"</f>
        <v>#ifndef _KNOW_DECLARATION</v>
      </c>
    </row>
    <row r="22" spans="2:5" x14ac:dyDescent="0.3">
      <c r="D22" t="str">
        <f>"#define __" &amp;C21&amp;"__"</f>
        <v>#define __KNOW__</v>
      </c>
      <c r="E22" t="str">
        <f>"#define _" &amp;C21&amp;"_DECLARATION"</f>
        <v>#define _KNOW_DECLARATION</v>
      </c>
    </row>
    <row r="23" spans="2:5" x14ac:dyDescent="0.3">
      <c r="D23" t="str">
        <f>"#endif // __"  &amp;C21&amp;"__"</f>
        <v>#endif // __KNOW__</v>
      </c>
      <c r="E23" t="str">
        <f>"#endif // _"  &amp;C21&amp;"_DECLARATION"</f>
        <v>#endif // _KNOW_DECLARATION</v>
      </c>
    </row>
    <row r="25" spans="2:5" x14ac:dyDescent="0.3">
      <c r="B25" t="s">
        <v>452</v>
      </c>
      <c r="C25" t="str">
        <f>UPPER(SUBSTITUTE(B25,".","_"))</f>
        <v>UN_KNOW</v>
      </c>
      <c r="D25" t="str">
        <f>"#ifndef __"&amp;C$25&amp;"__"</f>
        <v>#ifndef __UN_KNOW__</v>
      </c>
      <c r="E25" t="str">
        <f>"#ifndef _"&amp;C$25&amp;"_IMPLEMENTATION"</f>
        <v>#ifndef _UN_KNOW_IMPLEMENTATION</v>
      </c>
    </row>
    <row r="26" spans="2:5" x14ac:dyDescent="0.3">
      <c r="D26" t="str">
        <f>"#define __" &amp;C$25&amp;"__"</f>
        <v>#define __UN_KNOW__</v>
      </c>
      <c r="E26" t="str">
        <f>"#define _" &amp;C$25&amp;"_IMPLEMENTATION"</f>
        <v>#define _UN_KNOW_IMPLEMENTATION</v>
      </c>
    </row>
    <row r="27" spans="2:5" x14ac:dyDescent="0.3">
      <c r="D27" t="str">
        <f>"#endif // __"  &amp;C25&amp;"__"</f>
        <v>#endif // __UN_KNOW__</v>
      </c>
      <c r="E27" t="str">
        <f>"#endif // _"  &amp;C25&amp;"_IMPLEMENTATION"</f>
        <v>#endif // _UN_KNOW_IMPLEMENTATION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C9AC7-73C8-4031-9C5A-D7875FA74A42}">
  <sheetPr codeName="Sheet13"/>
  <dimension ref="D2:H4"/>
  <sheetViews>
    <sheetView workbookViewId="0">
      <selection activeCell="H5" sqref="H5"/>
    </sheetView>
  </sheetViews>
  <sheetFormatPr defaultRowHeight="14.4" x14ac:dyDescent="0.3"/>
  <cols>
    <col min="5" max="5" width="11.44140625" bestFit="1" customWidth="1"/>
  </cols>
  <sheetData>
    <row r="2" spans="4:8" x14ac:dyDescent="0.3">
      <c r="D2" t="s">
        <v>442</v>
      </c>
      <c r="E2" t="s">
        <v>443</v>
      </c>
      <c r="F2" t="s">
        <v>446</v>
      </c>
      <c r="G2" t="s">
        <v>447</v>
      </c>
      <c r="H2" t="s">
        <v>448</v>
      </c>
    </row>
    <row r="3" spans="4:8" x14ac:dyDescent="0.3">
      <c r="D3" t="s">
        <v>444</v>
      </c>
      <c r="E3" t="s">
        <v>445</v>
      </c>
      <c r="F3">
        <v>3500</v>
      </c>
      <c r="G3">
        <v>3600</v>
      </c>
      <c r="H3">
        <v>-10</v>
      </c>
    </row>
    <row r="4" spans="4:8" x14ac:dyDescent="0.3">
      <c r="D4" t="s">
        <v>449</v>
      </c>
      <c r="E4" t="s">
        <v>450</v>
      </c>
      <c r="F4">
        <v>4500</v>
      </c>
      <c r="G4">
        <v>4700</v>
      </c>
      <c r="H4">
        <v>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DashBoard</vt:lpstr>
      <vt:lpstr>Folders</vt:lpstr>
      <vt:lpstr>Files</vt:lpstr>
      <vt:lpstr>RelativeInclude</vt:lpstr>
      <vt:lpstr>Delete</vt:lpstr>
      <vt:lpstr>Conjunction</vt:lpstr>
      <vt:lpstr>Class</vt:lpstr>
      <vt:lpstr>Note</vt:lpstr>
      <vt:lpstr>Refactor</vt:lpstr>
      <vt:lpstr>IncludeGuard</vt:lpstr>
      <vt:lpstr>Sheet1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2026-05-03T08:44:13Z</dcterms:modified>
</cp:coreProperties>
</file>