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"/>
    </mc:Choice>
  </mc:AlternateContent>
  <xr:revisionPtr revIDLastSave="0" documentId="13_ncr:1_{05ADDB06-ECD2-4F44-8647-35D1155FC007}" xr6:coauthVersionLast="47" xr6:coauthVersionMax="47" xr10:uidLastSave="{00000000-0000-0000-0000-000000000000}"/>
  <bookViews>
    <workbookView xWindow="-108" yWindow="-108" windowWidth="23256" windowHeight="12456" tabRatio="782" activeTab="9" xr2:uid="{00000000-000D-0000-FFFF-FFFF00000000}"/>
  </bookViews>
  <sheets>
    <sheet name="DashBoard" sheetId="9" r:id="rId1"/>
    <sheet name="Folders" sheetId="13" r:id="rId2"/>
    <sheet name="Files" sheetId="10" r:id="rId3"/>
    <sheet name="RelativeInclude" sheetId="15" r:id="rId4"/>
    <sheet name="Delete" sheetId="16" r:id="rId5"/>
    <sheet name="Conjunction" sheetId="12" r:id="rId6"/>
    <sheet name="Class" sheetId="11" r:id="rId7"/>
    <sheet name="Note" sheetId="1" r:id="rId8"/>
    <sheet name="Refactor" sheetId="8" r:id="rId9"/>
    <sheet name="IncludeGuard" sheetId="14" r:id="rId10"/>
    <sheet name="Sheet1" sheetId="17" r:id="rId11"/>
    <sheet name="Enum and Define" sheetId="6" r:id="rId12"/>
    <sheet name="Unique" sheetId="4" r:id="rId13"/>
  </sheets>
  <externalReferences>
    <externalReference r:id="rId14"/>
  </externalReferences>
  <definedNames>
    <definedName name="_xlnm._FilterDatabase" localSheetId="6" hidden="1">Class!$A$1:$G$458</definedName>
    <definedName name="_xlnm._FilterDatabase" localSheetId="2" hidden="1">Files!$A$1:$D$421</definedName>
    <definedName name="_xlnm._FilterDatabase" localSheetId="7" hidden="1">Note!$B$1:$F$1</definedName>
    <definedName name="_xlnm._FilterDatabase" localSheetId="3" hidden="1">RelativeInclude!$A$1:$D$1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4" l="1"/>
  <c r="E26" i="14"/>
  <c r="E25" i="14"/>
  <c r="E23" i="14"/>
  <c r="E22" i="14"/>
  <c r="E21" i="14"/>
  <c r="D25" i="14"/>
  <c r="C25" i="14"/>
  <c r="D26" i="14" s="1"/>
  <c r="C21" i="14"/>
  <c r="D22" i="14" s="1"/>
  <c r="C16" i="14"/>
  <c r="D16" i="14" s="1"/>
  <c r="D27" i="14" l="1"/>
  <c r="D21" i="14"/>
  <c r="D23" i="14"/>
  <c r="D17" i="14"/>
  <c r="D18" i="14"/>
  <c r="C10" i="14"/>
  <c r="D11" i="14" s="1"/>
  <c r="D12" i="14" l="1"/>
  <c r="D10" i="14"/>
  <c r="C2" i="14"/>
  <c r="G2" i="14" s="1"/>
  <c r="H2" i="14" s="1"/>
  <c r="I8" i="14" s="1"/>
  <c r="E3" i="12"/>
  <c r="E4" i="12"/>
  <c r="E5" i="12"/>
  <c r="E6" i="12"/>
  <c r="E7" i="12"/>
  <c r="E8" i="12"/>
  <c r="E9" i="12"/>
  <c r="E10" i="12"/>
  <c r="E11" i="12"/>
  <c r="E12" i="12"/>
  <c r="D4" i="14" l="1"/>
  <c r="D3" i="14"/>
  <c r="D2" i="14"/>
  <c r="D6" i="14"/>
  <c r="D7" i="14"/>
  <c r="D8" i="14"/>
  <c r="I14" i="14"/>
  <c r="I2" i="14"/>
  <c r="I3" i="14"/>
  <c r="I4" i="14"/>
  <c r="I7" i="14"/>
  <c r="I9" i="14"/>
  <c r="I12" i="14"/>
  <c r="I13" i="14"/>
  <c r="E2" i="12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D28" i="8" l="1"/>
  <c r="D48" i="8"/>
  <c r="D40" i="8"/>
  <c r="D12" i="8"/>
  <c r="D32" i="8"/>
  <c r="D4" i="8"/>
</calcChain>
</file>

<file path=xl/sharedStrings.xml><?xml version="1.0" encoding="utf-8"?>
<sst xmlns="http://schemas.openxmlformats.org/spreadsheetml/2006/main" count="4217" uniqueCount="1976">
  <si>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</si>
  <si>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</si>
  <si>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</si>
  <si>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</si>
  <si>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</si>
  <si>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</si>
  <si>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</si>
  <si>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</si>
  <si>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</si>
  <si>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</si>
  <si>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</si>
  <si>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</si>
  <si>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</si>
  <si>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</si>
  <si>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</si>
  <si>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</si>
  <si>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</si>
  <si>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</si>
  <si>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</si>
  <si>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</si>
  <si>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</si>
  <si>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</si>
  <si>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</si>
  <si>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</si>
  <si>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</si>
  <si>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</si>
  <si>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</si>
  <si>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</si>
  <si>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</si>
  <si>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</si>
  <si>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</si>
  <si>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</si>
  <si>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</si>
  <si>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</si>
  <si>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</si>
  <si>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</si>
  <si>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</si>
  <si>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</si>
  <si>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</si>
  <si>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</si>
  <si>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Inherit</t>
  </si>
  <si>
    <t>Class</t>
  </si>
  <si>
    <t>Folder</t>
  </si>
  <si>
    <t>Base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</si>
  <si>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</si>
  <si>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</si>
  <si>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</si>
  <si>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</si>
  <si>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</si>
  <si>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</si>
  <si>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</si>
  <si>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</si>
  <si>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</si>
  <si>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</si>
  <si>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</si>
  <si>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</si>
  <si>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</si>
  <si>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</si>
  <si>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</si>
  <si>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</si>
  <si>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</si>
  <si>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</si>
  <si>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</si>
  <si>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</si>
  <si>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</si>
  <si>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</si>
  <si>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</si>
  <si>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</si>
  <si>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</si>
  <si>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</si>
  <si>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</si>
  <si>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</si>
  <si>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</si>
  <si>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</si>
  <si>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</si>
  <si>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</si>
  <si>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</si>
  <si>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</si>
  <si>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</si>
  <si>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</si>
  <si>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</si>
  <si>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</si>
  <si>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</si>
  <si>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</si>
  <si>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</si>
  <si>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</si>
  <si>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</si>
  <si>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</si>
  <si>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</si>
  <si>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</si>
  <si>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</si>
  <si>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</si>
  <si>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</si>
  <si>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</si>
  <si>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</si>
  <si>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</si>
  <si>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</si>
  <si>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</si>
  <si>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</si>
  <si>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</si>
  <si>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</si>
  <si>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</si>
  <si>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</si>
  <si>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</si>
  <si>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</si>
  <si>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</si>
  <si>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</si>
  <si>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</si>
  <si>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Base folders</t>
  </si>
  <si>
    <t>Include</t>
  </si>
  <si>
    <t>Exclude</t>
  </si>
  <si>
    <t>*.mq5;*.mqh</t>
  </si>
  <si>
    <t>Class Name</t>
  </si>
  <si>
    <t>DECLARATION</t>
  </si>
  <si>
    <t>IMPLEMENTATION</t>
  </si>
  <si>
    <t>MOVE_TO</t>
  </si>
  <si>
    <t>Include Relative</t>
  </si>
  <si>
    <t>File Name</t>
  </si>
  <si>
    <t>Include Fix</t>
  </si>
  <si>
    <t>Don't Insert Row, May be It Cause Delete file</t>
  </si>
  <si>
    <t>ListObj.mqh</t>
  </si>
  <si>
    <t>Container.mqh</t>
  </si>
  <si>
    <t>BaseObj.mqh</t>
  </si>
  <si>
    <t>Button.mqh</t>
  </si>
  <si>
    <t>CheckBox.mqh</t>
  </si>
  <si>
    <t>GroupBox.mqh</t>
  </si>
  <si>
    <t>Label.mqh</t>
  </si>
  <si>
    <t>Panel.mqh</t>
  </si>
  <si>
    <t>RadioButton.mqh</t>
  </si>
  <si>
    <t>CTableRowView</t>
  </si>
  <si>
    <t>*.ex5;*.bak</t>
  </si>
  <si>
    <t>Deleted</t>
  </si>
  <si>
    <t>1. 17653 Applying the MVC concept</t>
  </si>
  <si>
    <t>3. 18221 Lib</t>
  </si>
  <si>
    <t>5. 18941 Resizable elements</t>
  </si>
  <si>
    <t>6. 19288 Integrating the Model Component into the View Component</t>
  </si>
  <si>
    <t>7. 19979 Customizable and sortable table columns</t>
  </si>
  <si>
    <t>8. 20596 Lib</t>
  </si>
  <si>
    <t>2. 17960 Base graphical element</t>
  </si>
  <si>
    <t>4. 18658 Containers</t>
  </si>
  <si>
    <t>8. 20596 Refactor</t>
  </si>
  <si>
    <t>MOVE_FROM</t>
  </si>
  <si>
    <t>Artyom Trishkin\2. Timeseries in DoEasy library</t>
  </si>
  <si>
    <t>8787 TestDoEasyPart58.ex5</t>
  </si>
  <si>
    <t>Artyom Trishkin\3. Tables in the MVC\17960 Base graphical element\Original Russian</t>
  </si>
  <si>
    <t>17960 TestControls Ru.ex5</t>
  </si>
  <si>
    <t>Artyom Trishkin\3. Tables in the MVC\18221 Simple controls\Original Russian</t>
  </si>
  <si>
    <t>18221 iTestLabel.ex5</t>
  </si>
  <si>
    <t>Artyom Trishkin\3. Tables in the MVC\18658 Containers\Original Russian</t>
  </si>
  <si>
    <t>18658 iTestContainer.ex5</t>
  </si>
  <si>
    <t>Artyom Trishkin\3. Tables in the MVC\19288 Integrating the Model Component into the View Component\Original Russian</t>
  </si>
  <si>
    <t>19288 iTestTable Ru Original.ex5</t>
  </si>
  <si>
    <t>Artyom Trishkin\SQLite\7463 Native handling of SQL databases</t>
  </si>
  <si>
    <t>DatabaseExecute.ex5</t>
  </si>
  <si>
    <t>DatabaseRead.ex5</t>
  </si>
  <si>
    <t>DatabaseReadBind.ex5</t>
  </si>
  <si>
    <t>DatabaseTransactionBegin.ex5</t>
  </si>
  <si>
    <t>MACD Sample Database.ex5</t>
  </si>
  <si>
    <t>Artyom Trishkin\SQLite\7463 Native handling of SQL databases\SqLiteTest</t>
  </si>
  <si>
    <t>SQLiteTest.ex5</t>
  </si>
  <si>
    <t>Hlomohang John Borotho\Swing Extremes and Pullbacks</t>
  </si>
  <si>
    <t>3. 21888 Defining Structural Validity Beyond Simple HighsLows.ex5</t>
  </si>
  <si>
    <t>Symbol</t>
  </si>
  <si>
    <t>PositionType</t>
  </si>
  <si>
    <t>USD</t>
  </si>
  <si>
    <t>Sell</t>
  </si>
  <si>
    <t>SellPrice</t>
  </si>
  <si>
    <t>CurrentPrice</t>
  </si>
  <si>
    <t>Win/Lost</t>
  </si>
  <si>
    <t>Gold</t>
  </si>
  <si>
    <t>Buy</t>
  </si>
  <si>
    <t>Know</t>
  </si>
  <si>
    <t>Un_Know</t>
  </si>
  <si>
    <t>CMainProgram_OnInitEvent</t>
  </si>
  <si>
    <t>AccountsCollection.mqh</t>
  </si>
  <si>
    <t>BookSeriesCollection.mqh</t>
  </si>
  <si>
    <t>BuffersCollection.mqh</t>
  </si>
  <si>
    <t>EventsCollection.mqh</t>
  </si>
  <si>
    <t>HistoryCollection.mqh</t>
  </si>
  <si>
    <t>IndicatorsCollection.mqh</t>
  </si>
  <si>
    <t>MarketCollection.mqh</t>
  </si>
  <si>
    <t>OrderControl.mqh</t>
  </si>
  <si>
    <t>SymbolsCollection.mqh</t>
  </si>
  <si>
    <t>TickSeriesCollection.mqh</t>
  </si>
  <si>
    <t>Trading.mqh</t>
  </si>
  <si>
    <t>Defines.mqh</t>
  </si>
  <si>
    <t>GraphINI.mqh</t>
  </si>
  <si>
    <t>ChartObjCollection.mqh</t>
  </si>
  <si>
    <t>GraphElementsCollection.mqh</t>
  </si>
  <si>
    <t>Account.mqh</t>
  </si>
  <si>
    <t>MarketBookBuy.mqh</t>
  </si>
  <si>
    <t>MarketBookBuyMarket.mqh</t>
  </si>
  <si>
    <t>MarketBookOrd.mqh</t>
  </si>
  <si>
    <t>MarketBookSell.mqh</t>
  </si>
  <si>
    <t>MarketBookSellMarket.mqh</t>
  </si>
  <si>
    <t>MarketBookSnapshot.mqh</t>
  </si>
  <si>
    <t>MBookSeries.mqh</t>
  </si>
  <si>
    <t>ChartObj.mqh</t>
  </si>
  <si>
    <t>ChartWnd.mqh</t>
  </si>
  <si>
    <t>Event.mqh</t>
  </si>
  <si>
    <t>EventBalanceOperation.mqh</t>
  </si>
  <si>
    <t>EventModify.mqh</t>
  </si>
  <si>
    <t>EventOrderPlaced.mqh</t>
  </si>
  <si>
    <t>EventOrderRemoved.mqh</t>
  </si>
  <si>
    <t>EventPositionClose.mqh</t>
  </si>
  <si>
    <t>EventPositionOpen.mqh</t>
  </si>
  <si>
    <t>Form.mqh</t>
  </si>
  <si>
    <t>GBaseObj.mqh</t>
  </si>
  <si>
    <t>GCnvBitmap.mqh</t>
  </si>
  <si>
    <t>GCnvElement.mqh</t>
  </si>
  <si>
    <t>GraphElmControl.mqh</t>
  </si>
  <si>
    <t>ShadowObj.mqh</t>
  </si>
  <si>
    <t>Animations.mqh</t>
  </si>
  <si>
    <t>Frame.mqh</t>
  </si>
  <si>
    <t>FrameGeometry.mqh</t>
  </si>
  <si>
    <t>FrameQuad.mqh</t>
  </si>
  <si>
    <t>FrameText.mqh</t>
  </si>
  <si>
    <t>CGStdGraphObjExtToolkit.mqh</t>
  </si>
  <si>
    <t>GStdArrowBuyObjExt.mqh</t>
  </si>
  <si>
    <t>GStdArrowCheckObjExt.mqh</t>
  </si>
  <si>
    <t>GStdArrowDownObjExt.mqh</t>
  </si>
  <si>
    <t>GStdArrowedLineObjExt.mqh</t>
  </si>
  <si>
    <t>GStdArrowLeftPriceObjExt.mqh</t>
  </si>
  <si>
    <t>GStdArrowObjExt.mqh</t>
  </si>
  <si>
    <t>GStdArrowRightPriceObjExt.mqh</t>
  </si>
  <si>
    <t>GStdArrowSellObjExt.mqh</t>
  </si>
  <si>
    <t>GStdArrowStopObjExt.mqh</t>
  </si>
  <si>
    <t>GStdArrowThumbDownObjExt.mqh</t>
  </si>
  <si>
    <t>GStdArrowThumbUpObjExt.mqh</t>
  </si>
  <si>
    <t>GStdArrowUpObjExt.mqh</t>
  </si>
  <si>
    <t>GStdBitmapLabelObjExt.mqh</t>
  </si>
  <si>
    <t>GStdBitmapObjExt.mqh</t>
  </si>
  <si>
    <t>GStdButtonObjExt.mqh</t>
  </si>
  <si>
    <t>GStdChannelObjExt.mqh</t>
  </si>
  <si>
    <t>GStdChartObjExt.mqh</t>
  </si>
  <si>
    <t>GStdCiclesObjExt.mqh</t>
  </si>
  <si>
    <t>GStdEditObjExt.mqh</t>
  </si>
  <si>
    <t>GStdElliotWave3ObjExt.mqh</t>
  </si>
  <si>
    <t>GStdElliotWave5ObjExt.mqh</t>
  </si>
  <si>
    <t>GStdEllipseObjExt.mqh</t>
  </si>
  <si>
    <t>GStdEventObjExt.mqh</t>
  </si>
  <si>
    <t>GStdExpansionObjExt.mqh</t>
  </si>
  <si>
    <t>GStdFiboArcObjExt.mqh</t>
  </si>
  <si>
    <t>GStdFiboChannelObjExt.mqh</t>
  </si>
  <si>
    <t>GStdFiboFanObjExt.mqh</t>
  </si>
  <si>
    <t>GStdFiboObjExt.mqh</t>
  </si>
  <si>
    <t>GStdFiboTimesObjExt.mqh</t>
  </si>
  <si>
    <t>GStdGannFanObjExt.mqh</t>
  </si>
  <si>
    <t>GStdGannGridObjExt.mqh</t>
  </si>
  <si>
    <t>GStdGannLineObjExt.mqh</t>
  </si>
  <si>
    <t>GStdGraphObjExt.mqh</t>
  </si>
  <si>
    <t>GStdHLineObjExt.mqh</t>
  </si>
  <si>
    <t>GStdLabelObjExt.mqh</t>
  </si>
  <si>
    <t>GStdPitchforkObjExt.mqh</t>
  </si>
  <si>
    <t>GStdRectangleLabelObjExt.mqh</t>
  </si>
  <si>
    <t>GStdRectangleObjExt.mqh</t>
  </si>
  <si>
    <t>GStdRegressionObjExt.mqh</t>
  </si>
  <si>
    <t>GStdStdDevChannelObjExt.mqh</t>
  </si>
  <si>
    <t>GStdTextObjExt.mqh</t>
  </si>
  <si>
    <t>GStdTrendByAngleObjExt.mqh</t>
  </si>
  <si>
    <t>GStdTrendObjExt.mqh</t>
  </si>
  <si>
    <t>GStdTrendObjExtExt.mqh</t>
  </si>
  <si>
    <t>GStdTriangleObjExt.mqh</t>
  </si>
  <si>
    <t>GStdVLineObjExt.mqh</t>
  </si>
  <si>
    <t>GStdArrowBuyObj.mqh</t>
  </si>
  <si>
    <t>GStdArrowCheckObj.mqh</t>
  </si>
  <si>
    <t>GStdArrowDownObj.mqh</t>
  </si>
  <si>
    <t>GStdArrowedLineObj.mqh</t>
  </si>
  <si>
    <t>GStdArrowLeftPriceObj.mqh</t>
  </si>
  <si>
    <t>GStdArrowObj.mqh</t>
  </si>
  <si>
    <t>GStdArrowRightPriceObj.mqh</t>
  </si>
  <si>
    <t>GStdArrowSellObj.mqh</t>
  </si>
  <si>
    <t>GStdArrowStopObj.mqh</t>
  </si>
  <si>
    <t>GStdArrowThumbDownObj.mqh</t>
  </si>
  <si>
    <t>GStdArrowThumbUpObj.mqh</t>
  </si>
  <si>
    <t>GStdArrowUpObj.mqh</t>
  </si>
  <si>
    <t>GStdBitmapLabelObj.mqh</t>
  </si>
  <si>
    <t>GStdBitmapObj.mqh</t>
  </si>
  <si>
    <t>GStdButtonObj.mqh</t>
  </si>
  <si>
    <t>GStdChannelObj.mqh</t>
  </si>
  <si>
    <t>GStdChartObj.mqh</t>
  </si>
  <si>
    <t>GStdCiclesObj.mqh</t>
  </si>
  <si>
    <t>GStdEditObj.mqh</t>
  </si>
  <si>
    <t>GStdElliotWave3Obj.mqh</t>
  </si>
  <si>
    <t>GStdElliotWave5Obj.mqh</t>
  </si>
  <si>
    <t>GStdEllipseObj.mqh</t>
  </si>
  <si>
    <t>GStdEventObj.mqh</t>
  </si>
  <si>
    <t>GStdExpansionObj.mqh</t>
  </si>
  <si>
    <t>GStdFiboArcObj.mqh</t>
  </si>
  <si>
    <t>GStdFiboChannelObj.mqh</t>
  </si>
  <si>
    <t>GStdFiboFanObj.mqh</t>
  </si>
  <si>
    <t>GStdFiboObj.mqh</t>
  </si>
  <si>
    <t>GStdFiboTimesObj.mqh</t>
  </si>
  <si>
    <t>GStdGannFanObj.mqh</t>
  </si>
  <si>
    <t>GStdGannGridObj.mqh</t>
  </si>
  <si>
    <t>GStdGannLineObj.mqh</t>
  </si>
  <si>
    <t>GStdGraphObj.mqh</t>
  </si>
  <si>
    <t>GStdHLineObj.mqh</t>
  </si>
  <si>
    <t>GStdLabelObj.mqh</t>
  </si>
  <si>
    <t>GStdPitchforkObj.mqh</t>
  </si>
  <si>
    <t>GStdRectangleLabelObj.mqh</t>
  </si>
  <si>
    <t>GStdRectangleObj.mqh</t>
  </si>
  <si>
    <t>GStdRegressionObj.mqh</t>
  </si>
  <si>
    <t>GStdStdDevChannelObj.mqh</t>
  </si>
  <si>
    <t>GStdTextObj.mqh</t>
  </si>
  <si>
    <t>GStdTrendByAngleObj.mqh</t>
  </si>
  <si>
    <t>GStdTrendObj.mqh</t>
  </si>
  <si>
    <t>GStdTriangleObj.mqh</t>
  </si>
  <si>
    <t>GStdVLineObj.mqh</t>
  </si>
  <si>
    <t>GlareObj.mqh</t>
  </si>
  <si>
    <t>WinFormBase.mqh</t>
  </si>
  <si>
    <t>ButtonListBox.mqh</t>
  </si>
  <si>
    <t>CheckedListBox.mqh</t>
  </si>
  <si>
    <t>CommonBase.mqh</t>
  </si>
  <si>
    <t>ElementsListBox.mqh</t>
  </si>
  <si>
    <t>ListBox.mqh</t>
  </si>
  <si>
    <t>ProgressBar.mqh</t>
  </si>
  <si>
    <t>ToolTip.mqh</t>
  </si>
  <si>
    <t>SplitContainer.mqh</t>
  </si>
  <si>
    <t>TabControl.mqh</t>
  </si>
  <si>
    <t>ArrowButton.mqh</t>
  </si>
  <si>
    <t>ArrowDownButton.mqh</t>
  </si>
  <si>
    <t>ArrowLeftButton.mqh</t>
  </si>
  <si>
    <t>ArrowLeftRightBox.mqh</t>
  </si>
  <si>
    <t>ArrowRightButton.mqh</t>
  </si>
  <si>
    <t>ArrowUpButton.mqh</t>
  </si>
  <si>
    <t>ArrowUpDownBox.mqh</t>
  </si>
  <si>
    <t>BarProgressBar.mqh</t>
  </si>
  <si>
    <t>HintBase.mqh</t>
  </si>
  <si>
    <t>HintMoveDown.mqh</t>
  </si>
  <si>
    <t>HintMoveLeft.mqh</t>
  </si>
  <si>
    <t>HintMoveRight.mqh</t>
  </si>
  <si>
    <t>HintMoveUp.mqh</t>
  </si>
  <si>
    <t>ListBoxItem.mqh</t>
  </si>
  <si>
    <t>ScrollBar.mqh</t>
  </si>
  <si>
    <t>ScrollBarHorisontal.mqh</t>
  </si>
  <si>
    <t>ScrollBarThumb.mqh</t>
  </si>
  <si>
    <t>ScrollBarVertical.mqh</t>
  </si>
  <si>
    <t>SplitContainerPanel.mqh</t>
  </si>
  <si>
    <t>Splitter.mqh</t>
  </si>
  <si>
    <t>TabField.mqh</t>
  </si>
  <si>
    <t>TabHeader.mqh</t>
  </si>
  <si>
    <t>Buffer.mqh</t>
  </si>
  <si>
    <t>BufferArrow.mqh</t>
  </si>
  <si>
    <t>BufferBars.mqh</t>
  </si>
  <si>
    <t>BufferCalculate.mqh</t>
  </si>
  <si>
    <t>BufferCandles.mqh</t>
  </si>
  <si>
    <t>BufferFilling.mqh</t>
  </si>
  <si>
    <t>BufferHistogram.mqh</t>
  </si>
  <si>
    <t>BufferHistogram2.mqh</t>
  </si>
  <si>
    <t>BufferLine.mqh</t>
  </si>
  <si>
    <t>BufferSection.mqh</t>
  </si>
  <si>
    <t>BufferZigZag.mqh</t>
  </si>
  <si>
    <t>DataInd.mqh</t>
  </si>
  <si>
    <t>IndicatorDE.mqh</t>
  </si>
  <si>
    <t>SeriesDataInd.mqh</t>
  </si>
  <si>
    <t>IndAC.mqh</t>
  </si>
  <si>
    <t>IndAD.mqh</t>
  </si>
  <si>
    <t>IndADX.mqh</t>
  </si>
  <si>
    <t>IndADXW.mqh</t>
  </si>
  <si>
    <t>IndAlligator.mqh</t>
  </si>
  <si>
    <t>IndAMA.mqh</t>
  </si>
  <si>
    <t>IndAO.mqh</t>
  </si>
  <si>
    <t>IndATR.mqh</t>
  </si>
  <si>
    <t>IndBands.mqh</t>
  </si>
  <si>
    <t>IndBears.mqh</t>
  </si>
  <si>
    <t>IndBulls.mqh</t>
  </si>
  <si>
    <t>IndBWMFI.mqh</t>
  </si>
  <si>
    <t>IndCCI.mqh</t>
  </si>
  <si>
    <t>IndChaikin.mqh</t>
  </si>
  <si>
    <t>IndCustom.mqh</t>
  </si>
  <si>
    <t>IndDEMA.mqh</t>
  </si>
  <si>
    <t>IndDeMarker.mqh</t>
  </si>
  <si>
    <t>IndEnvelopes.mqh</t>
  </si>
  <si>
    <t>IndForce.mqh</t>
  </si>
  <si>
    <t>IndFractals.mqh</t>
  </si>
  <si>
    <t>IndFRAMA.mqh</t>
  </si>
  <si>
    <t>IndGator.mqh</t>
  </si>
  <si>
    <t>IndIchimoku.mqh</t>
  </si>
  <si>
    <t>IndMA.mqh</t>
  </si>
  <si>
    <t>IndMACD.mqh</t>
  </si>
  <si>
    <t>IndMFI.mqh</t>
  </si>
  <si>
    <t>IndMomentum.mqh</t>
  </si>
  <si>
    <t>IndOBV.mqh</t>
  </si>
  <si>
    <t>IndOsMA.mqh</t>
  </si>
  <si>
    <t>IndRSI.mqh</t>
  </si>
  <si>
    <t>IndRVI.mqh</t>
  </si>
  <si>
    <t>IndSAR.mqh</t>
  </si>
  <si>
    <t>IndStDev.mqh</t>
  </si>
  <si>
    <t>IndStoch.mqh</t>
  </si>
  <si>
    <t>IndTEMA.mqh</t>
  </si>
  <si>
    <t>IndTRIX.mqh</t>
  </si>
  <si>
    <t>IndVIDYA.mqh</t>
  </si>
  <si>
    <t>IndVolumes.mqh</t>
  </si>
  <si>
    <t>IndWPR.mqh</t>
  </si>
  <si>
    <t>HistoryBalance.mqh</t>
  </si>
  <si>
    <t>HistoryDeal.mqh</t>
  </si>
  <si>
    <t>HistoryOrder.mqh</t>
  </si>
  <si>
    <t>HistoryPending.mqh</t>
  </si>
  <si>
    <t>MarketOrder.mqh</t>
  </si>
  <si>
    <t>MarketPending.mqh</t>
  </si>
  <si>
    <t>MarketPosition.mqh</t>
  </si>
  <si>
    <t>Order.mqh</t>
  </si>
  <si>
    <t>PendReqClose.mqh</t>
  </si>
  <si>
    <t>PendReqModify.mqh</t>
  </si>
  <si>
    <t>PendReqOpen.mqh</t>
  </si>
  <si>
    <t>PendReqPlace.mqh</t>
  </si>
  <si>
    <t>PendReqRemove.mqh</t>
  </si>
  <si>
    <t>PendReqSLTP.mqh</t>
  </si>
  <si>
    <t>PendRequest.mqh</t>
  </si>
  <si>
    <t>Bar.mqh</t>
  </si>
  <si>
    <t>PatternInsideBar.mqh</t>
  </si>
  <si>
    <t>PatternOutsideBar.mqh</t>
  </si>
  <si>
    <t>PatternPinBar.mqh</t>
  </si>
  <si>
    <t>Symbol.mqh</t>
  </si>
  <si>
    <t>SymbolBonds.mqh</t>
  </si>
  <si>
    <t>SymbolCFD.mqh</t>
  </si>
  <si>
    <t>SymbolCollateral.mqh</t>
  </si>
  <si>
    <t>SymbolCommodity.mqh</t>
  </si>
  <si>
    <t>SymbolCommon.mqh</t>
  </si>
  <si>
    <t>SymbolCrypto.mqh</t>
  </si>
  <si>
    <t>SymbolCustom.mqh</t>
  </si>
  <si>
    <t>SymbolExchange.mqh</t>
  </si>
  <si>
    <t>SymbolFutures.mqh</t>
  </si>
  <si>
    <t>SymbolFX.mqh</t>
  </si>
  <si>
    <t>SymbolFXExotic.mqh</t>
  </si>
  <si>
    <t>SymbolFXMajor.mqh</t>
  </si>
  <si>
    <t>SymbolFXMinor.mqh</t>
  </si>
  <si>
    <t>SymbolFXRub.mqh</t>
  </si>
  <si>
    <t>SymbolIndex.mqh</t>
  </si>
  <si>
    <t>SymbolIndicative.mqh</t>
  </si>
  <si>
    <t>SymbolMetall.mqh</t>
  </si>
  <si>
    <t>SymbolOption.mqh</t>
  </si>
  <si>
    <t>SymbolStocks.mqh</t>
  </si>
  <si>
    <t>DataTick.mqh</t>
  </si>
  <si>
    <t>NewTickObj.mqh</t>
  </si>
  <si>
    <t>TickSeries.mqh</t>
  </si>
  <si>
    <t>TradeObj.mqh</t>
  </si>
  <si>
    <t>Colors.mqh</t>
  </si>
  <si>
    <t>Message.mqh</t>
  </si>
  <si>
    <t>MouseState.mqh</t>
  </si>
  <si>
    <t>NewBarObj.mqh</t>
  </si>
  <si>
    <t>Pause.mqh</t>
  </si>
  <si>
    <t>TimerCounter.mqh</t>
  </si>
  <si>
    <t>XDimArray.mqh</t>
  </si>
  <si>
    <t>C:\Users\nguye\AppData\Roaming\MetaQuotes\Terminal\D0E8209F77C8CF37AD8BF550E51FF075\MQL5\Include\Vendors\Anhnt\Library\4. Combination Lib\Timeseries\Series\TimeSeriesDE.mqh</t>
  </si>
  <si>
    <t>RectCanvas.mqh</t>
  </si>
  <si>
    <t>O</t>
  </si>
  <si>
    <t>H</t>
  </si>
  <si>
    <t>C</t>
  </si>
  <si>
    <t>L</t>
  </si>
  <si>
    <t>TF</t>
  </si>
  <si>
    <t>Event</t>
  </si>
  <si>
    <t>Time</t>
  </si>
  <si>
    <t>C:\Users\nguye\AppData\Roaming\MetaQuotes\Terminal\D0E8209F77C8CF37AD8BF550E51FF075\MQL5\Include\Vendors\Anhnt\Library\4. Combination Lib</t>
  </si>
  <si>
    <t>Include\Vendors\Anhnt\Library\4. Combination Lib\Base</t>
  </si>
  <si>
    <t>BaseEvent.mqh</t>
  </si>
  <si>
    <t>#include &lt;Vendors\Anhnt\Library\4. Combination Lib\Base\BaseEvent.mqh&gt;</t>
  </si>
  <si>
    <t>#include &lt;Vendors\Anhnt\Library\4. Combination Lib\Base\BaseObj.mqh&gt;</t>
  </si>
  <si>
    <t>BaseObjExt.mqh</t>
  </si>
  <si>
    <t>#include &lt;Vendors\Anhnt\Library\4. Combination Lib\Base\BaseObjExt.mqh&gt;</t>
  </si>
  <si>
    <t>EventBaseObj.mqh</t>
  </si>
  <si>
    <t>#include &lt;Vendors\Anhnt\Library\4. Combination Lib\Base\EventBaseObj.mqh&gt;</t>
  </si>
  <si>
    <t>Include\Vendors\Anhnt\Library\4. Combination Lib\Chart</t>
  </si>
  <si>
    <t>#include &lt;Vendors\Anhnt\Library\4. Combination Lib\Chart\ChartObj.mqh&gt;</t>
  </si>
  <si>
    <t>ChartObjectsControl.mqh</t>
  </si>
  <si>
    <t>#include &lt;Vendors\Anhnt\Library\4. Combination Lib\Chart\ChartObjectsControl.mqh&gt;</t>
  </si>
  <si>
    <t>#include &lt;Vendors\Anhnt\Library\4. Combination Lib\Chart\ChartWnd.mqh&gt;</t>
  </si>
  <si>
    <t>WndInd.mqh</t>
  </si>
  <si>
    <t>#include &lt;Vendors\Anhnt\Library\4. Combination Lib\Chart\WndInd.mqh&gt;</t>
  </si>
  <si>
    <t>Include\Vendors\Anhnt\Library\4. Combination Lib\Collections</t>
  </si>
  <si>
    <t>#include &lt;Vendors\Anhnt\Library\4. Combination Lib\Collections\AccountsCollection.mqh&gt;</t>
  </si>
  <si>
    <t>BarTimeSeriesCollection.mqh</t>
  </si>
  <si>
    <t>#include &lt;Vendors\Anhnt\Library\4. Combination Lib\Collections\BarTimeSeriesCollection.mqh&gt;</t>
  </si>
  <si>
    <t>#include &lt;Vendors\Anhnt\Library\4. Combination Lib\Collections\BookSeriesCollection.mqh&gt;</t>
  </si>
  <si>
    <t>#include &lt;Vendors\Anhnt\Library\4. Combination Lib\Collections\BuffersCollection.mqh&gt;</t>
  </si>
  <si>
    <t>#include &lt;Vendors\Anhnt\Library\4. Combination Lib\Collections\ChartObjCollection.mqh&gt;</t>
  </si>
  <si>
    <t>#include &lt;Vendors\Anhnt\Library\4. Combination Lib\Collections\EventsCollection.mqh&gt;</t>
  </si>
  <si>
    <t>#include &lt;Vendors\Anhnt\Library\4. Combination Lib\Collections\GraphElementsCollection.mqh&gt;</t>
  </si>
  <si>
    <t>#include &lt;Vendors\Anhnt\Library\4. Combination Lib\Collections\HistoryCollection.mqh&gt;</t>
  </si>
  <si>
    <t>#include &lt;Vendors\Anhnt\Library\4. Combination Lib\Collections\IndicatorsCollection.mqh&gt;</t>
  </si>
  <si>
    <t>#include &lt;Vendors\Anhnt\Library\4. Combination Lib\Collections\ListObj.mqh&gt;</t>
  </si>
  <si>
    <t>#include &lt;Vendors\Anhnt\Library\4. Combination Lib\Collections\MarketCollection.mqh&gt;</t>
  </si>
  <si>
    <t>#include &lt;Vendors\Anhnt\Library\4. Combination Lib\Collections\OrderControl.mqh&gt;</t>
  </si>
  <si>
    <t>#include &lt;Vendors\Anhnt\Library\4. Combination Lib\Collections\SymbolsCollection.mqh&gt;</t>
  </si>
  <si>
    <t>#include &lt;Vendors\Anhnt\Library\4. Combination Lib\Collections\TickSeriesCollection.mqh&gt;</t>
  </si>
  <si>
    <t>Include\Vendors\Anhnt\Library\4. Combination Lib\Defines</t>
  </si>
  <si>
    <t>#include &lt;Vendors\Anhnt\Library\4. Combination Lib\Defines\Defines.mqh&gt;</t>
  </si>
  <si>
    <t>Include\Vendors\Anhnt\Library\4. Combination Lib\Graph</t>
  </si>
  <si>
    <t>#include &lt;Vendors\Anhnt\Library\4. Combination Lib\Graph\Form.mqh&gt;</t>
  </si>
  <si>
    <t>#include &lt;Vendors\Anhnt\Library\4. Combination Lib\Graph\GCnvElement.mqh&gt;</t>
  </si>
  <si>
    <t>#include &lt;Vendors\Anhnt\Library\4. Combination Lib\Graph\GraphElmControl.mqh&gt;</t>
  </si>
  <si>
    <t>#include &lt;Vendors\Anhnt\Library\4. Combination Lib\Graph\GraphINI.mqh&gt;</t>
  </si>
  <si>
    <t>#include &lt;Vendors\Anhnt\Library\4. Combination Lib\Graph\ShadowObj.mqh&gt;</t>
  </si>
  <si>
    <t>Include\Vendors\Anhnt\Library\4. Combination Lib\Graph\Animations</t>
  </si>
  <si>
    <t>#include &lt;Vendors\Anhnt\Library\4. Combination Lib\Graph\Animations\Animations.mqh&gt;</t>
  </si>
  <si>
    <t>#include &lt;Vendors\Anhnt\Library\4. Combination Lib\Graph\Animations\Frame.mqh&gt;</t>
  </si>
  <si>
    <t>#include &lt;Vendors\Anhnt\Library\4. Combination Lib\Graph\Animations\FrameGeometry.mqh&gt;</t>
  </si>
  <si>
    <t>#include &lt;Vendors\Anhnt\Library\4. Combination Lib\Graph\Animations\FrameQuad.mqh&gt;</t>
  </si>
  <si>
    <t>#include &lt;Vendors\Anhnt\Library\4. Combination Lib\Graph\Animations\FrameText.mqh&gt;</t>
  </si>
  <si>
    <t>Include\Vendors\Anhnt\Library\4. Combination Lib\Graph\Bitmaps</t>
  </si>
  <si>
    <t>#include &lt;Vendors\Anhnt\Library\4. Combination Lib\Graph\Bitmaps\GCnvBitmap.mqh&gt;</t>
  </si>
  <si>
    <t>GCnvPatternBitmap.mqh</t>
  </si>
  <si>
    <t>#include &lt;Vendors\Anhnt\Library\4. Combination Lib\Graph\Bitmaps\GCnvPatternBitmap.mqh&gt;</t>
  </si>
  <si>
    <t>Include\Vendors\Anhnt\Library\4. Combination Lib\Graph\Extend</t>
  </si>
  <si>
    <t>#include &lt;Vendors\Anhnt\Library\4. Combination Lib\Graph\Extend\CGStdGraphObjExtToolkit.mqh&gt;</t>
  </si>
  <si>
    <t>Include\Vendors\Anhnt\Library\4. Combination Lib\Graph\Extended</t>
  </si>
  <si>
    <t>#include &lt;Vendors\Anhnt\Library\4. Combination Lib\Graph\Extended\GStdArrowBuyObjExt.mqh&gt;</t>
  </si>
  <si>
    <t>#include &lt;Vendors\Anhnt\Library\4. Combination Lib\Graph\Extended\GStdArrowCheckObjExt.mqh&gt;</t>
  </si>
  <si>
    <t>#include &lt;Vendors\Anhnt\Library\4. Combination Lib\Graph\Extended\GStdArrowDownObjExt.mqh&gt;</t>
  </si>
  <si>
    <t>#include &lt;Vendors\Anhnt\Library\4. Combination Lib\Graph\Extended\GStdArrowedLineObjExt.mqh&gt;</t>
  </si>
  <si>
    <t>#include &lt;Vendors\Anhnt\Library\4. Combination Lib\Graph\Extended\GStdArrowLeftPriceObjExt.mqh&gt;</t>
  </si>
  <si>
    <t>#include &lt;Vendors\Anhnt\Library\4. Combination Lib\Graph\Extended\GStdArrowObjExt.mqh&gt;</t>
  </si>
  <si>
    <t>#include &lt;Vendors\Anhnt\Library\4. Combination Lib\Graph\Extended\GStdArrowRightPriceObjExt.mqh&gt;</t>
  </si>
  <si>
    <t>#include &lt;Vendors\Anhnt\Library\4. Combination Lib\Graph\Extended\GStdArrowSellObjExt.mqh&gt;</t>
  </si>
  <si>
    <t>#include &lt;Vendors\Anhnt\Library\4. Combination Lib\Graph\Extended\GStdArrowStopObjExt.mqh&gt;</t>
  </si>
  <si>
    <t>#include &lt;Vendors\Anhnt\Library\4. Combination Lib\Graph\Extended\GStdArrowThumbDownObjExt.mqh&gt;</t>
  </si>
  <si>
    <t>#include &lt;Vendors\Anhnt\Library\4. Combination Lib\Graph\Extended\GStdArrowThumbUpObjExt.mqh&gt;</t>
  </si>
  <si>
    <t>#include &lt;Vendors\Anhnt\Library\4. Combination Lib\Graph\Extended\GStdArrowUpObjExt.mqh&gt;</t>
  </si>
  <si>
    <t>#include &lt;Vendors\Anhnt\Library\4. Combination Lib\Graph\Extended\GStdBitmapLabelObjExt.mqh&gt;</t>
  </si>
  <si>
    <t>#include &lt;Vendors\Anhnt\Library\4. Combination Lib\Graph\Extended\GStdBitmapObjExt.mqh&gt;</t>
  </si>
  <si>
    <t>#include &lt;Vendors\Anhnt\Library\4. Combination Lib\Graph\Extended\GStdButtonObjExt.mqh&gt;</t>
  </si>
  <si>
    <t>#include &lt;Vendors\Anhnt\Library\4. Combination Lib\Graph\Extended\GStdChannelObjExt.mqh&gt;</t>
  </si>
  <si>
    <t>#include &lt;Vendors\Anhnt\Library\4. Combination Lib\Graph\Extended\GStdChartObjExt.mqh&gt;</t>
  </si>
  <si>
    <t>#include &lt;Vendors\Anhnt\Library\4. Combination Lib\Graph\Extended\GStdCiclesObjExt.mqh&gt;</t>
  </si>
  <si>
    <t>#include &lt;Vendors\Anhnt\Library\4. Combination Lib\Graph\Extended\GStdEditObjExt.mqh&gt;</t>
  </si>
  <si>
    <t>#include &lt;Vendors\Anhnt\Library\4. Combination Lib\Graph\Extended\GStdElliotWave3ObjExt.mqh&gt;</t>
  </si>
  <si>
    <t>#include &lt;Vendors\Anhnt\Library\4. Combination Lib\Graph\Extended\GStdElliotWave5ObjExt.mqh&gt;</t>
  </si>
  <si>
    <t>#include &lt;Vendors\Anhnt\Library\4. Combination Lib\Graph\Extended\GStdEllipseObjExt.mqh&gt;</t>
  </si>
  <si>
    <t>#include &lt;Vendors\Anhnt\Library\4. Combination Lib\Graph\Extended\GStdEventObjExt.mqh&gt;</t>
  </si>
  <si>
    <t>#include &lt;Vendors\Anhnt\Library\4. Combination Lib\Graph\Extended\GStdExpansionObjExt.mqh&gt;</t>
  </si>
  <si>
    <t>#include &lt;Vendors\Anhnt\Library\4. Combination Lib\Graph\Extended\GStdFiboArcObjExt.mqh&gt;</t>
  </si>
  <si>
    <t>#include &lt;Vendors\Anhnt\Library\4. Combination Lib\Graph\Extended\GStdFiboChannelObjExt.mqh&gt;</t>
  </si>
  <si>
    <t>#include &lt;Vendors\Anhnt\Library\4. Combination Lib\Graph\Extended\GStdFiboFanObjExt.mqh&gt;</t>
  </si>
  <si>
    <t>#include &lt;Vendors\Anhnt\Library\4. Combination Lib\Graph\Extended\GStdFiboObjExt.mqh&gt;</t>
  </si>
  <si>
    <t>#include &lt;Vendors\Anhnt\Library\4. Combination Lib\Graph\Extended\GStdFiboTimesObjExt.mqh&gt;</t>
  </si>
  <si>
    <t>#include &lt;Vendors\Anhnt\Library\4. Combination Lib\Graph\Extended\GStdGannFanObjExt.mqh&gt;</t>
  </si>
  <si>
    <t>#include &lt;Vendors\Anhnt\Library\4. Combination Lib\Graph\Extended\GStdGannGridObjExt.mqh&gt;</t>
  </si>
  <si>
    <t>#include &lt;Vendors\Anhnt\Library\4. Combination Lib\Graph\Extended\GStdGannLineObjExt.mqh&gt;</t>
  </si>
  <si>
    <t>#include &lt;Vendors\Anhnt\Library\4. Combination Lib\Graph\Extended\GStdGraphObjExt.mqh&gt;</t>
  </si>
  <si>
    <t>#include &lt;Vendors\Anhnt\Library\4. Combination Lib\Graph\Extended\GStdHLineObjExt.mqh&gt;</t>
  </si>
  <si>
    <t>#include &lt;Vendors\Anhnt\Library\4. Combination Lib\Graph\Extended\GStdLabelObjExt.mqh&gt;</t>
  </si>
  <si>
    <t>#include &lt;Vendors\Anhnt\Library\4. Combination Lib\Graph\Extended\GStdPitchforkObjExt.mqh&gt;</t>
  </si>
  <si>
    <t>#include &lt;Vendors\Anhnt\Library\4. Combination Lib\Graph\Extended\GStdRectangleLabelObjExt.mqh&gt;</t>
  </si>
  <si>
    <t>#include &lt;Vendors\Anhnt\Library\4. Combination Lib\Graph\Extended\GStdRectangleObjExt.mqh&gt;</t>
  </si>
  <si>
    <t>#include &lt;Vendors\Anhnt\Library\4. Combination Lib\Graph\Extended\GStdRegressionObjExt.mqh&gt;</t>
  </si>
  <si>
    <t>#include &lt;Vendors\Anhnt\Library\4. Combination Lib\Graph\Extended\GStdStdDevChannelObjExt.mqh&gt;</t>
  </si>
  <si>
    <t>#include &lt;Vendors\Anhnt\Library\4. Combination Lib\Graph\Extended\GStdTextObjExt.mqh&gt;</t>
  </si>
  <si>
    <t>#include &lt;Vendors\Anhnt\Library\4. Combination Lib\Graph\Extended\GStdTrendByAngleObjExt.mqh&gt;</t>
  </si>
  <si>
    <t>#include &lt;Vendors\Anhnt\Library\4. Combination Lib\Graph\Extended\GStdTrendObjExt.mqh&gt;</t>
  </si>
  <si>
    <t>#include &lt;Vendors\Anhnt\Library\4. Combination Lib\Graph\Extended\GStdTrendObjExtExt.mqh&gt;</t>
  </si>
  <si>
    <t>#include &lt;Vendors\Anhnt\Library\4. Combination Lib\Graph\Extended\GStdTriangleObjExt.mqh&gt;</t>
  </si>
  <si>
    <t>#include &lt;Vendors\Anhnt\Library\4. Combination Lib\Graph\Extended\GStdVLineObjExt.mqh&gt;</t>
  </si>
  <si>
    <t>Include\Vendors\Anhnt\Library\4. Combination Lib\Graph\GBase</t>
  </si>
  <si>
    <t>CGBaseEvent.mqh</t>
  </si>
  <si>
    <t>#include &lt;Vendors\Anhnt\Library\4. Combination Lib\Graph\GBase\CGBaseEvent.mqh&gt;</t>
  </si>
  <si>
    <t>#include &lt;Vendors\Anhnt\Library\4. Combination Lib\Graph\GBase\GBaseObj.mqh&gt;</t>
  </si>
  <si>
    <t>Include\Vendors\Anhnt\Library\4. Combination Lib\Graph\Standard</t>
  </si>
  <si>
    <t>#include &lt;Vendors\Anhnt\Library\4. Combination Lib\Graph\Standard\GStdGraphObj.mqh&gt;</t>
  </si>
  <si>
    <t>Include\Vendors\Anhnt\Library\4. Combination Lib\Graph\Standard\GStd</t>
  </si>
  <si>
    <t>#include &lt;Vendors\Anhnt\Library\4. Combination Lib\Graph\Standard\GStd\GStdArrowBuyObj.mqh&gt;</t>
  </si>
  <si>
    <t>#include &lt;Vendors\Anhnt\Library\4. Combination Lib\Graph\Standard\GStd\GStdArrowCheckObj.mqh&gt;</t>
  </si>
  <si>
    <t>#include &lt;Vendors\Anhnt\Library\4. Combination Lib\Graph\Standard\GStd\GStdArrowDownObj.mqh&gt;</t>
  </si>
  <si>
    <t>#include &lt;Vendors\Anhnt\Library\4. Combination Lib\Graph\Standard\GStd\GStdArrowedLineObj.mqh&gt;</t>
  </si>
  <si>
    <t>#include &lt;Vendors\Anhnt\Library\4. Combination Lib\Graph\Standard\GStd\GStdArrowLeftPriceObj.mqh&gt;</t>
  </si>
  <si>
    <t>#include &lt;Vendors\Anhnt\Library\4. Combination Lib\Graph\Standard\GStd\GStdArrowObj.mqh&gt;</t>
  </si>
  <si>
    <t>#include &lt;Vendors\Anhnt\Library\4. Combination Lib\Graph\Standard\GStd\GStdArrowRightPriceObj.mqh&gt;</t>
  </si>
  <si>
    <t>#include &lt;Vendors\Anhnt\Library\4. Combination Lib\Graph\Standard\GStd\GStdArrowSellObj.mqh&gt;</t>
  </si>
  <si>
    <t>#include &lt;Vendors\Anhnt\Library\4. Combination Lib\Graph\Standard\GStd\GStdArrowStopObj.mqh&gt;</t>
  </si>
  <si>
    <t>#include &lt;Vendors\Anhnt\Library\4. Combination Lib\Graph\Standard\GStd\GStdArrowThumbDownObj.mqh&gt;</t>
  </si>
  <si>
    <t>#include &lt;Vendors\Anhnt\Library\4. Combination Lib\Graph\Standard\GStd\GStdArrowThumbUpObj.mqh&gt;</t>
  </si>
  <si>
    <t>#include &lt;Vendors\Anhnt\Library\4. Combination Lib\Graph\Standard\GStd\GStdArrowUpObj.mqh&gt;</t>
  </si>
  <si>
    <t>#include &lt;Vendors\Anhnt\Library\4. Combination Lib\Graph\Standard\GStd\GStdBitmapLabelObj.mqh&gt;</t>
  </si>
  <si>
    <t>#include &lt;Vendors\Anhnt\Library\4. Combination Lib\Graph\Standard\GStd\GStdBitmapObj.mqh&gt;</t>
  </si>
  <si>
    <t>#include &lt;Vendors\Anhnt\Library\4. Combination Lib\Graph\Standard\GStd\GStdButtonObj.mqh&gt;</t>
  </si>
  <si>
    <t>#include &lt;Vendors\Anhnt\Library\4. Combination Lib\Graph\Standard\GStd\GStdChannelObj.mqh&gt;</t>
  </si>
  <si>
    <t>#include &lt;Vendors\Anhnt\Library\4. Combination Lib\Graph\Standard\GStd\GStdChartObj.mqh&gt;</t>
  </si>
  <si>
    <t>#include &lt;Vendors\Anhnt\Library\4. Combination Lib\Graph\Standard\GStd\GStdCiclesObj.mqh&gt;</t>
  </si>
  <si>
    <t>#include &lt;Vendors\Anhnt\Library\4. Combination Lib\Graph\Standard\GStd\GStdEditObj.mqh&gt;</t>
  </si>
  <si>
    <t>#include &lt;Vendors\Anhnt\Library\4. Combination Lib\Graph\Standard\GStd\GStdElliotWave3Obj.mqh&gt;</t>
  </si>
  <si>
    <t>#include &lt;Vendors\Anhnt\Library\4. Combination Lib\Graph\Standard\GStd\GStdElliotWave5Obj.mqh&gt;</t>
  </si>
  <si>
    <t>#include &lt;Vendors\Anhnt\Library\4. Combination Lib\Graph\Standard\GStd\GStdEllipseObj.mqh&gt;</t>
  </si>
  <si>
    <t>#include &lt;Vendors\Anhnt\Library\4. Combination Lib\Graph\Standard\GStd\GStdEventObj.mqh&gt;</t>
  </si>
  <si>
    <t>#include &lt;Vendors\Anhnt\Library\4. Combination Lib\Graph\Standard\GStd\GStdExpansionObj.mqh&gt;</t>
  </si>
  <si>
    <t>#include &lt;Vendors\Anhnt\Library\4. Combination Lib\Graph\Standard\GStd\GStdFiboArcObj.mqh&gt;</t>
  </si>
  <si>
    <t>#include &lt;Vendors\Anhnt\Library\4. Combination Lib\Graph\Standard\GStd\GStdFiboChannelObj.mqh&gt;</t>
  </si>
  <si>
    <t>#include &lt;Vendors\Anhnt\Library\4. Combination Lib\Graph\Standard\GStd\GStdFiboFanObj.mqh&gt;</t>
  </si>
  <si>
    <t>#include &lt;Vendors\Anhnt\Library\4. Combination Lib\Graph\Standard\GStd\GStdFiboObj.mqh&gt;</t>
  </si>
  <si>
    <t>#include &lt;Vendors\Anhnt\Library\4. Combination Lib\Graph\Standard\GStd\GStdFiboTimesObj.mqh&gt;</t>
  </si>
  <si>
    <t>#include &lt;Vendors\Anhnt\Library\4. Combination Lib\Graph\Standard\GStd\GStdGannFanObj.mqh&gt;</t>
  </si>
  <si>
    <t>#include &lt;Vendors\Anhnt\Library\4. Combination Lib\Graph\Standard\GStd\GStdGannGridObj.mqh&gt;</t>
  </si>
  <si>
    <t>#include &lt;Vendors\Anhnt\Library\4. Combination Lib\Graph\Standard\GStd\GStdGannLineObj.mqh&gt;</t>
  </si>
  <si>
    <t>#include &lt;Vendors\Anhnt\Library\4. Combination Lib\Graph\Standard\GStd\GStdHLineObj.mqh&gt;</t>
  </si>
  <si>
    <t>#include &lt;Vendors\Anhnt\Library\4. Combination Lib\Graph\Standard\GStd\GStdLabelObj.mqh&gt;</t>
  </si>
  <si>
    <t>#include &lt;Vendors\Anhnt\Library\4. Combination Lib\Graph\Standard\GStd\GStdPitchforkObj.mqh&gt;</t>
  </si>
  <si>
    <t>#include &lt;Vendors\Anhnt\Library\4. Combination Lib\Graph\Standard\GStd\GStdRectangleLabelObj.mqh&gt;</t>
  </si>
  <si>
    <t>#include &lt;Vendors\Anhnt\Library\4. Combination Lib\Graph\Standard\GStd\GStdRectangleObj.mqh&gt;</t>
  </si>
  <si>
    <t>#include &lt;Vendors\Anhnt\Library\4. Combination Lib\Graph\Standard\GStd\GStdRegressionObj.mqh&gt;</t>
  </si>
  <si>
    <t>#include &lt;Vendors\Anhnt\Library\4. Combination Lib\Graph\Standard\GStd\GStdStdDevChannelObj.mqh&gt;</t>
  </si>
  <si>
    <t>#include &lt;Vendors\Anhnt\Library\4. Combination Lib\Graph\Standard\GStd\GStdTextObj.mqh&gt;</t>
  </si>
  <si>
    <t>#include &lt;Vendors\Anhnt\Library\4. Combination Lib\Graph\Standard\GStd\GStdTrendByAngleObj.mqh&gt;</t>
  </si>
  <si>
    <t>#include &lt;Vendors\Anhnt\Library\4. Combination Lib\Graph\Standard\GStd\GStdTrendObj.mqh&gt;</t>
  </si>
  <si>
    <t>#include &lt;Vendors\Anhnt\Library\4. Combination Lib\Graph\Standard\GStd\GStdTriangleObj.mqh&gt;</t>
  </si>
  <si>
    <t>#include &lt;Vendors\Anhnt\Library\4. Combination Lib\Graph\Standard\GStd\GStdVLineObj.mqh&gt;</t>
  </si>
  <si>
    <t>Include\Vendors\Anhnt\Library\4. Combination Lib\Graph\Timeseries</t>
  </si>
  <si>
    <t>PatternRenderer.mqh</t>
  </si>
  <si>
    <t>#include &lt;Vendors\Anhnt\Library\4. Combination Lib\Graph\Timeseries\PatternRenderer.mqh&gt;</t>
  </si>
  <si>
    <t>Include\Vendors\Anhnt\Library\4. Combination Lib\Graph\WForms</t>
  </si>
  <si>
    <t>#include &lt;Vendors\Anhnt\Library\4. Combination Lib\Graph\WForms\GlareObj.mqh&gt;</t>
  </si>
  <si>
    <t>#include &lt;Vendors\Anhnt\Library\4. Combination Lib\Graph\WForms\WinFormBase.mqh&gt;</t>
  </si>
  <si>
    <t>Include\Vendors\Anhnt\Library\4. Combination Lib\Graph\WForms\Common Controls</t>
  </si>
  <si>
    <t>#include &lt;Vendors\Anhnt\Library\4. Combination Lib\Graph\WForms\Common Controls\Button.mqh&gt;</t>
  </si>
  <si>
    <t>#include &lt;Vendors\Anhnt\Library\4. Combination Lib\Graph\WForms\Common Controls\ButtonListBox.mqh&gt;</t>
  </si>
  <si>
    <t>#include &lt;Vendors\Anhnt\Library\4. Combination Lib\Graph\WForms\Common Controls\CheckBox.mqh&gt;</t>
  </si>
  <si>
    <t>#include &lt;Vendors\Anhnt\Library\4. Combination Lib\Graph\WForms\Common Controls\CheckedListBox.mqh&gt;</t>
  </si>
  <si>
    <t>#include &lt;Vendors\Anhnt\Library\4. Combination Lib\Graph\WForms\Common Controls\CommonBase.mqh&gt;</t>
  </si>
  <si>
    <t>#include &lt;Vendors\Anhnt\Library\4. Combination Lib\Graph\WForms\Common Controls\ElementsListBox.mqh&gt;</t>
  </si>
  <si>
    <t>#include &lt;Vendors\Anhnt\Library\4. Combination Lib\Graph\WForms\Common Controls\Label.mqh&gt;</t>
  </si>
  <si>
    <t>#include &lt;Vendors\Anhnt\Library\4. Combination Lib\Graph\WForms\Common Controls\ListBox.mqh&gt;</t>
  </si>
  <si>
    <t>#include &lt;Vendors\Anhnt\Library\4. Combination Lib\Graph\WForms\Common Controls\ProgressBar.mqh&gt;</t>
  </si>
  <si>
    <t>#include &lt;Vendors\Anhnt\Library\4. Combination Lib\Graph\WForms\Common Controls\RadioButton.mqh&gt;</t>
  </si>
  <si>
    <t>#include &lt;Vendors\Anhnt\Library\4. Combination Lib\Graph\WForms\Common Controls\ToolTip.mqh&gt;</t>
  </si>
  <si>
    <t>Include\Vendors\Anhnt\Library\4. Combination Lib\Graph\WForms\Containers</t>
  </si>
  <si>
    <t>#include &lt;Vendors\Anhnt\Library\4. Combination Lib\Graph\WForms\Containers\Container.mqh&gt;</t>
  </si>
  <si>
    <t>#include &lt;Vendors\Anhnt\Library\4. Combination Lib\Graph\WForms\Containers\GroupBox.mqh&gt;</t>
  </si>
  <si>
    <t>#include &lt;Vendors\Anhnt\Library\4. Combination Lib\Graph\WForms\Containers\Panel.mqh&gt;</t>
  </si>
  <si>
    <t>#include &lt;Vendors\Anhnt\Library\4. Combination Lib\Graph\WForms\Containers\SplitContainer.mqh&gt;</t>
  </si>
  <si>
    <t>#include &lt;Vendors\Anhnt\Library\4. Combination Lib\Graph\WForms\Containers\TabControl.mqh&gt;</t>
  </si>
  <si>
    <t>Include\Vendors\Anhnt\Library\4. Combination Lib\Graph\WForms\Helpers</t>
  </si>
  <si>
    <t>#include &lt;Vendors\Anhnt\Library\4. Combination Lib\Graph\WForms\Helpers\ArrowButton.mqh&gt;</t>
  </si>
  <si>
    <t>#include &lt;Vendors\Anhnt\Library\4. Combination Lib\Graph\WForms\Helpers\ArrowDownButton.mqh&gt;</t>
  </si>
  <si>
    <t>#include &lt;Vendors\Anhnt\Library\4. Combination Lib\Graph\WForms\Helpers\ArrowLeftButton.mqh&gt;</t>
  </si>
  <si>
    <t>#include &lt;Vendors\Anhnt\Library\4. Combination Lib\Graph\WForms\Helpers\ArrowLeftRightBox.mqh&gt;</t>
  </si>
  <si>
    <t>#include &lt;Vendors\Anhnt\Library\4. Combination Lib\Graph\WForms\Helpers\ArrowRightButton.mqh&gt;</t>
  </si>
  <si>
    <t>#include &lt;Vendors\Anhnt\Library\4. Combination Lib\Graph\WForms\Helpers\ArrowUpButton.mqh&gt;</t>
  </si>
  <si>
    <t>#include &lt;Vendors\Anhnt\Library\4. Combination Lib\Graph\WForms\Helpers\ArrowUpDownBox.mqh&gt;</t>
  </si>
  <si>
    <t>#include &lt;Vendors\Anhnt\Library\4. Combination Lib\Graph\WForms\Helpers\BarProgressBar.mqh&gt;</t>
  </si>
  <si>
    <t>#include &lt;Vendors\Anhnt\Library\4. Combination Lib\Graph\WForms\Helpers\HintBase.mqh&gt;</t>
  </si>
  <si>
    <t>#include &lt;Vendors\Anhnt\Library\4. Combination Lib\Graph\WForms\Helpers\HintMoveDown.mqh&gt;</t>
  </si>
  <si>
    <t>#include &lt;Vendors\Anhnt\Library\4. Combination Lib\Graph\WForms\Helpers\HintMoveLeft.mqh&gt;</t>
  </si>
  <si>
    <t>#include &lt;Vendors\Anhnt\Library\4. Combination Lib\Graph\WForms\Helpers\HintMoveRight.mqh&gt;</t>
  </si>
  <si>
    <t>#include &lt;Vendors\Anhnt\Library\4. Combination Lib\Graph\WForms\Helpers\HintMoveUp.mqh&gt;</t>
  </si>
  <si>
    <t>#include &lt;Vendors\Anhnt\Library\4. Combination Lib\Graph\WForms\Helpers\ListBoxItem.mqh&gt;</t>
  </si>
  <si>
    <t>#include &lt;Vendors\Anhnt\Library\4. Combination Lib\Graph\WForms\Helpers\ScrollBar.mqh&gt;</t>
  </si>
  <si>
    <t>#include &lt;Vendors\Anhnt\Library\4. Combination Lib\Graph\WForms\Helpers\ScrollBarHorisontal.mqh&gt;</t>
  </si>
  <si>
    <t>#include &lt;Vendors\Anhnt\Library\4. Combination Lib\Graph\WForms\Helpers\ScrollBarThumb.mqh&gt;</t>
  </si>
  <si>
    <t>#include &lt;Vendors\Anhnt\Library\4. Combination Lib\Graph\WForms\Helpers\ScrollBarVertical.mqh&gt;</t>
  </si>
  <si>
    <t>#include &lt;Vendors\Anhnt\Library\4. Combination Lib\Graph\WForms\Helpers\SplitContainerPanel.mqh&gt;</t>
  </si>
  <si>
    <t>#include &lt;Vendors\Anhnt\Library\4. Combination Lib\Graph\WForms\Helpers\Splitter.mqh&gt;</t>
  </si>
  <si>
    <t>#include &lt;Vendors\Anhnt\Library\4. Combination Lib\Graph\WForms\Helpers\TabField.mqh&gt;</t>
  </si>
  <si>
    <t>#include &lt;Vendors\Anhnt\Library\4. Combination Lib\Graph\WForms\Helpers\TabHeader.mqh&gt;</t>
  </si>
  <si>
    <t>Include\Vendors\Anhnt\Library\4. Combination Lib\GUI Lib</t>
  </si>
  <si>
    <t>Common.mqh</t>
  </si>
  <si>
    <t>#include &lt;Vendors\Anhnt\Library\4. Combination Lib\GUI Lib\Common.mqh&gt;</t>
  </si>
  <si>
    <t>#include &lt;Vendors\Anhnt\Library\4. Combination Lib\GUI Lib\Defines.mqh&gt;</t>
  </si>
  <si>
    <t>Element.mqh</t>
  </si>
  <si>
    <t>#include &lt;Vendors\Anhnt\Library\4. Combination Lib\GUI Lib\Element.mqh&gt;</t>
  </si>
  <si>
    <t>ElementBase.mqh</t>
  </si>
  <si>
    <t>#include &lt;Vendors\Anhnt\Library\4. Combination Lib\GUI Lib\ElementBase.mqh&gt;</t>
  </si>
  <si>
    <t>Enums.mqh</t>
  </si>
  <si>
    <t>#include &lt;Vendors\Anhnt\Library\4. Combination Lib\GUI Lib\Enums.mqh&gt;</t>
  </si>
  <si>
    <t>Fonts.mqh</t>
  </si>
  <si>
    <t>#include &lt;Vendors\Anhnt\Library\4. Combination Lib\GUI Lib\Fonts.mqh&gt;</t>
  </si>
  <si>
    <t>Image.mqh</t>
  </si>
  <si>
    <t>#include &lt;Vendors\Anhnt\Library\4. Combination Lib\GUI Lib\Image.mqh&gt;</t>
  </si>
  <si>
    <t>KeyCodes.mqh</t>
  </si>
  <si>
    <t>#include &lt;Vendors\Anhnt\Library\4. Combination Lib\GUI Lib\KeyCodes.mqh&gt;</t>
  </si>
  <si>
    <t>Keys.mqh</t>
  </si>
  <si>
    <t>#include &lt;Vendors\Anhnt\Library\4. Combination Lib\GUI Lib\Keys.mqh&gt;</t>
  </si>
  <si>
    <t>Mouse.mqh</t>
  </si>
  <si>
    <t>#include &lt;Vendors\Anhnt\Library\4. Combination Lib\GUI Lib\Mouse.mqh&gt;</t>
  </si>
  <si>
    <t>#include &lt;Vendors\Anhnt\Library\4. Combination Lib\GUI Lib\RectCanvas.mqh&gt;</t>
  </si>
  <si>
    <t>SubChart.mqh</t>
  </si>
  <si>
    <t>#include &lt;Vendors\Anhnt\Library\4. Combination Lib\GUI Lib\SubChart.mqh&gt;</t>
  </si>
  <si>
    <t>TimeCounter.mqh</t>
  </si>
  <si>
    <t>#include &lt;Vendors\Anhnt\Library\4. Combination Lib\GUI Lib\TimeCounter.mqh&gt;</t>
  </si>
  <si>
    <t>WndContainer.mqh</t>
  </si>
  <si>
    <t>#include &lt;Vendors\Anhnt\Library\4. Combination Lib\GUI Lib\WndContainer.mqh&gt;</t>
  </si>
  <si>
    <t>WndCreate.mqh</t>
  </si>
  <si>
    <t>#include &lt;Vendors\Anhnt\Library\4. Combination Lib\GUI Lib\WndCreate.mqh&gt;</t>
  </si>
  <si>
    <t>WndEvents.mqh</t>
  </si>
  <si>
    <t>#include &lt;Vendors\Anhnt\Library\4. Combination Lib\GUI Lib\WndEvents.mqh&gt;</t>
  </si>
  <si>
    <t>Include\Vendors\Anhnt\Library\4. Combination Lib\GUI Lib\Controls</t>
  </si>
  <si>
    <t>#include &lt;Vendors\Anhnt\Library\4. Combination Lib\GUI Lib\Controls\Button.mqh&gt;</t>
  </si>
  <si>
    <t>ButtonsGroup.mqh</t>
  </si>
  <si>
    <t>#include &lt;Vendors\Anhnt\Library\4. Combination Lib\GUI Lib\Controls\ButtonsGroup.mqh&gt;</t>
  </si>
  <si>
    <t>Calendar.mqh</t>
  </si>
  <si>
    <t>#include &lt;Vendors\Anhnt\Library\4. Combination Lib\GUI Lib\Controls\Calendar.mqh&gt;</t>
  </si>
  <si>
    <t>#include &lt;Vendors\Anhnt\Library\4. Combination Lib\GUI Lib\Controls\CheckBox.mqh&gt;</t>
  </si>
  <si>
    <t>ColorButton.mqh</t>
  </si>
  <si>
    <t>#include &lt;Vendors\Anhnt\Library\4. Combination Lib\GUI Lib\Controls\ColorButton.mqh&gt;</t>
  </si>
  <si>
    <t>ColorPicker.mqh</t>
  </si>
  <si>
    <t>#include &lt;Vendors\Anhnt\Library\4. Combination Lib\GUI Lib\Controls\ColorPicker.mqh&gt;</t>
  </si>
  <si>
    <t>ComboBox.mqh</t>
  </si>
  <si>
    <t>#include &lt;Vendors\Anhnt\Library\4. Combination Lib\GUI Lib\Controls\ComboBox.mqh&gt;</t>
  </si>
  <si>
    <t>ContextMenu.mqh</t>
  </si>
  <si>
    <t>#include &lt;Vendors\Anhnt\Library\4. Combination Lib\GUI Lib\Controls\ContextMenu.mqh&gt;</t>
  </si>
  <si>
    <t>DropCalendar.mqh</t>
  </si>
  <si>
    <t>#include &lt;Vendors\Anhnt\Library\4. Combination Lib\GUI Lib\Controls\DropCalendar.mqh&gt;</t>
  </si>
  <si>
    <t>FileNavigator.mqh</t>
  </si>
  <si>
    <t>#include &lt;Vendors\Anhnt\Library\4. Combination Lib\GUI Lib\Controls\FileNavigator.mqh&gt;</t>
  </si>
  <si>
    <t>#include &lt;Vendors\Anhnt\Library\4. Combination Lib\GUI Lib\Controls\Frame.mqh&gt;</t>
  </si>
  <si>
    <t>Graph.mqh</t>
  </si>
  <si>
    <t>#include &lt;Vendors\Anhnt\Library\4. Combination Lib\GUI Lib\Controls\Graph.mqh&gt;</t>
  </si>
  <si>
    <t>ListView.mqh</t>
  </si>
  <si>
    <t>#include &lt;Vendors\Anhnt\Library\4. Combination Lib\GUI Lib\Controls\ListView.mqh&gt;</t>
  </si>
  <si>
    <t>MenuBar.mqh</t>
  </si>
  <si>
    <t>#include &lt;Vendors\Anhnt\Library\4. Combination Lib\GUI Lib\Controls\MenuBar.mqh&gt;</t>
  </si>
  <si>
    <t>MenuItem.mqh</t>
  </si>
  <si>
    <t>#include &lt;Vendors\Anhnt\Library\4. Combination Lib\GUI Lib\Controls\MenuItem.mqh&gt;</t>
  </si>
  <si>
    <t>Picture.mqh</t>
  </si>
  <si>
    <t>#include &lt;Vendors\Anhnt\Library\4. Combination Lib\GUI Lib\Controls\Picture.mqh&gt;</t>
  </si>
  <si>
    <t>PicturesSlider.mqh</t>
  </si>
  <si>
    <t>#include &lt;Vendors\Anhnt\Library\4. Combination Lib\GUI Lib\Controls\PicturesSlider.mqh&gt;</t>
  </si>
  <si>
    <t>Pointer.mqh</t>
  </si>
  <si>
    <t>#include &lt;Vendors\Anhnt\Library\4. Combination Lib\GUI Lib\Controls\Pointer.mqh&gt;</t>
  </si>
  <si>
    <t>#include &lt;Vendors\Anhnt\Library\4. Combination Lib\GUI Lib\Controls\ProgressBar.mqh&gt;</t>
  </si>
  <si>
    <t>Scrolls.mqh</t>
  </si>
  <si>
    <t>#include &lt;Vendors\Anhnt\Library\4. Combination Lib\GUI Lib\Controls\Scrolls.mqh&gt;</t>
  </si>
  <si>
    <t>SeparateLine.mqh</t>
  </si>
  <si>
    <t>#include &lt;Vendors\Anhnt\Library\4. Combination Lib\GUI Lib\Controls\SeparateLine.mqh&gt;</t>
  </si>
  <si>
    <t>Slider.mqh</t>
  </si>
  <si>
    <t>#include &lt;Vendors\Anhnt\Library\4. Combination Lib\GUI Lib\Controls\Slider.mqh&gt;</t>
  </si>
  <si>
    <t>SplitButton.mqh</t>
  </si>
  <si>
    <t>#include &lt;Vendors\Anhnt\Library\4. Combination Lib\GUI Lib\Controls\SplitButton.mqh&gt;</t>
  </si>
  <si>
    <t>StandardChart.mqh</t>
  </si>
  <si>
    <t>#include &lt;Vendors\Anhnt\Library\4. Combination Lib\GUI Lib\Controls\StandardChart.mqh&gt;</t>
  </si>
  <si>
    <t>StatusBar.mqh</t>
  </si>
  <si>
    <t>#include &lt;Vendors\Anhnt\Library\4. Combination Lib\GUI Lib\Controls\StatusBar.mqh&gt;</t>
  </si>
  <si>
    <t>Table.mqh</t>
  </si>
  <si>
    <t>#include &lt;Vendors\Anhnt\Library\4. Combination Lib\GUI Lib\Controls\Table.mqh&gt;</t>
  </si>
  <si>
    <t>Tabs.mqh</t>
  </si>
  <si>
    <t>#include &lt;Vendors\Anhnt\Library\4. Combination Lib\GUI Lib\Controls\Tabs.mqh&gt;</t>
  </si>
  <si>
    <t>TextBox.mqh</t>
  </si>
  <si>
    <t>#include &lt;Vendors\Anhnt\Library\4. Combination Lib\GUI Lib\Controls\TextBox.mqh&gt;</t>
  </si>
  <si>
    <t>TextEdit.mqh</t>
  </si>
  <si>
    <t>#include &lt;Vendors\Anhnt\Library\4. Combination Lib\GUI Lib\Controls\TextEdit.mqh&gt;</t>
  </si>
  <si>
    <t>TextLabel.mqh</t>
  </si>
  <si>
    <t>#include &lt;Vendors\Anhnt\Library\4. Combination Lib\GUI Lib\Controls\TextLabel.mqh&gt;</t>
  </si>
  <si>
    <t>TimeEdit.mqh</t>
  </si>
  <si>
    <t>#include &lt;Vendors\Anhnt\Library\4. Combination Lib\GUI Lib\Controls\TimeEdit.mqh&gt;</t>
  </si>
  <si>
    <t>Tooltip.mqh</t>
  </si>
  <si>
    <t>#include &lt;Vendors\Anhnt\Library\4. Combination Lib\GUI Lib\Controls\Tooltip.mqh&gt;</t>
  </si>
  <si>
    <t>TreeItem.mqh</t>
  </si>
  <si>
    <t>#include &lt;Vendors\Anhnt\Library\4. Combination Lib\GUI Lib\Controls\TreeItem.mqh&gt;</t>
  </si>
  <si>
    <t>TreeView.mqh</t>
  </si>
  <si>
    <t>#include &lt;Vendors\Anhnt\Library\4. Combination Lib\GUI Lib\Controls\TreeView.mqh&gt;</t>
  </si>
  <si>
    <t>Window.mqh</t>
  </si>
  <si>
    <t>#include &lt;Vendors\Anhnt\Library\4. Combination Lib\GUI Lib\Controls\Window.mqh&gt;</t>
  </si>
  <si>
    <t>Include\Vendors\Anhnt\Library\4. Combination Lib\GUI Lib\GUIDefines</t>
  </si>
  <si>
    <t>ControlsDefines.mqh</t>
  </si>
  <si>
    <t>#include &lt;Vendors\Anhnt\Library\4. Combination Lib\GUI Lib\GUIDefines\ControlsDefines.mqh&gt;</t>
  </si>
  <si>
    <t>Include\Vendors\Anhnt\Library\4. Combination Lib\GUI Lib\Temp</t>
  </si>
  <si>
    <t>#include &lt;Vendors\Anhnt\Library\4. Combination Lib\GUI Lib\Temp\Colors.mqh&gt;</t>
  </si>
  <si>
    <t>Objects.mqh</t>
  </si>
  <si>
    <t>#include &lt;Vendors\Anhnt\Library\4. Combination Lib\GUI Lib\Temp\Objects.mqh&gt;</t>
  </si>
  <si>
    <t>Resources Backup.mqh</t>
  </si>
  <si>
    <t>#include &lt;Vendors\Anhnt\Library\4. Combination Lib\GUI Lib\Temp\Resources Backup.mqh&gt;</t>
  </si>
  <si>
    <t>Include\Vendors\Anhnt\Library\4. Combination Lib\Notify\Message</t>
  </si>
  <si>
    <t>#include &lt;Vendors\Anhnt\Library\4. Combination Lib\Notify\Message\Message.mqh&gt;</t>
  </si>
  <si>
    <t>MessageData.mqh</t>
  </si>
  <si>
    <t>#include &lt;Vendors\Anhnt\Library\4. Combination Lib\Notify\Message\MessageData.mqh&gt;</t>
  </si>
  <si>
    <t>MessageDefines.mqh</t>
  </si>
  <si>
    <t>#include &lt;Vendors\Anhnt\Library\4. Combination Lib\Notify\Message\MessageDefines.mqh&gt;</t>
  </si>
  <si>
    <t>Include\Vendors\Anhnt\Library\4. Combination Lib\Notify\Sound</t>
  </si>
  <si>
    <t>SoundData.mqh</t>
  </si>
  <si>
    <t>#include &lt;Vendors\Anhnt\Library\4. Combination Lib\Notify\Sound\SoundData.mqh&gt;</t>
  </si>
  <si>
    <t>Include\Vendors\Anhnt\Library\4. Combination Lib\Resources</t>
  </si>
  <si>
    <t>ImageResources.mqh</t>
  </si>
  <si>
    <t>#include &lt;Vendors\Anhnt\Library\4. Combination Lib\Resources\ImageResources.mqh&gt;</t>
  </si>
  <si>
    <t>Include\Vendors\Anhnt\Library\4. Combination Lib\Services</t>
  </si>
  <si>
    <t>#include &lt;Vendors\Anhnt\Library\4. Combination Lib\Services\Colors.mqh&gt;</t>
  </si>
  <si>
    <t>#include &lt;Vendors\Anhnt\Library\4. Combination Lib\Services\MouseState.mqh&gt;</t>
  </si>
  <si>
    <t>#include &lt;Vendors\Anhnt\Library\4. Combination Lib\Services\Pause.mqh&gt;</t>
  </si>
  <si>
    <t>#include &lt;Vendors\Anhnt\Library\4. Combination Lib\Services\TimerCounter.mqh&gt;</t>
  </si>
  <si>
    <t>#include &lt;Vendors\Anhnt\Library\4. Combination Lib\Services\Trading.mqh&gt;</t>
  </si>
  <si>
    <t>Include\Vendors\Anhnt\Library\4. Combination Lib\Services\DELib</t>
  </si>
  <si>
    <t>ChartDELib.mqh</t>
  </si>
  <si>
    <t>#include &lt;Vendors\Anhnt\Library\4. Combination Lib\Services\DELib\ChartDELib.mqh&gt;</t>
  </si>
  <si>
    <t>CommonDELib.mqh</t>
  </si>
  <si>
    <t>#include &lt;Vendors\Anhnt\Library\4. Combination Lib\Services\DELib\CommonDELib.mqh&gt;</t>
  </si>
  <si>
    <t>GraphicDELib.mqh</t>
  </si>
  <si>
    <t>#include &lt;Vendors\Anhnt\Library\4. Combination Lib\Services\DELib\GraphicDELib.mqh&gt;</t>
  </si>
  <si>
    <t>TimeseriesDELib.mqh</t>
  </si>
  <si>
    <t>#include &lt;Vendors\Anhnt\Library\4. Combination Lib\Services\DELib\TimeseriesDELib.mqh&gt;</t>
  </si>
  <si>
    <t>TradingDELib.mqh</t>
  </si>
  <si>
    <t>#include &lt;Vendors\Anhnt\Library\4. Combination Lib\Services\DELib\TradingDELib.mqh&gt;</t>
  </si>
  <si>
    <t>Include\Vendors\Anhnt\Library\4. Combination Lib\Services\InputData</t>
  </si>
  <si>
    <t>CommonInpData.mqh</t>
  </si>
  <si>
    <t>#include &lt;Vendors\Anhnt\Library\4. Combination Lib\Services\InputData\CommonInpData.mqh&gt;</t>
  </si>
  <si>
    <t>TradingInpData.mqh</t>
  </si>
  <si>
    <t>#include &lt;Vendors\Anhnt\Library\4. Combination Lib\Services\InputData\TradingInpData.mqh&gt;</t>
  </si>
  <si>
    <t>Include\Vendors\Anhnt\Library\4. Combination Lib\Services\Properties</t>
  </si>
  <si>
    <t>ChangedProps.mqh</t>
  </si>
  <si>
    <t>#include &lt;Vendors\Anhnt\Library\4. Combination Lib\Services\Properties\ChangedProps.mqh&gt;</t>
  </si>
  <si>
    <t>ChangeHistory.mqh</t>
  </si>
  <si>
    <t>#include &lt;Vendors\Anhnt\Library\4. Combination Lib\Services\Properties\ChangeHistory.mqh&gt;</t>
  </si>
  <si>
    <t>DataPropObj.mqh</t>
  </si>
  <si>
    <t>#include &lt;Vendors\Anhnt\Library\4. Combination Lib\Services\Properties\DataPropObj.mqh&gt;</t>
  </si>
  <si>
    <t>#include &lt;Vendors\Anhnt\Library\4. Combination Lib\Services\Properties\XDimArray.mqh&gt;</t>
  </si>
  <si>
    <t>Include\Vendors\Anhnt\Library\4. Combination Lib\Services\Select</t>
  </si>
  <si>
    <t>ChartSelect.mqh</t>
  </si>
  <si>
    <t>#include &lt;Vendors\Anhnt\Library\4. Combination Lib\Services\Select\ChartSelect.mqh&gt;</t>
  </si>
  <si>
    <t>CommonSelect.mqh</t>
  </si>
  <si>
    <t>#include &lt;Vendors\Anhnt\Library\4. Combination Lib\Services\Select\CommonSelect.mqh&gt;</t>
  </si>
  <si>
    <t>TimeseriesSelect.mqh</t>
  </si>
  <si>
    <t>#include &lt;Vendors\Anhnt\Library\4. Combination Lib\Services\Select\TimeseriesSelect.mqh&gt;</t>
  </si>
  <si>
    <t>TradingSelect.mqh</t>
  </si>
  <si>
    <t>#include &lt;Vendors\Anhnt\Library\4. Combination Lib\Services\Select\TradingSelect.mqh&gt;</t>
  </si>
  <si>
    <t>Include\Vendors\Anhnt\Library\4. Combination Lib\Timeseries\Bars</t>
  </si>
  <si>
    <t>#include &lt;Vendors\Anhnt\Library\4. Combination Lib\Timeseries\Bars\Bar.mqh&gt;</t>
  </si>
  <si>
    <t>#include &lt;Vendors\Anhnt\Library\4. Combination Lib\Timeseries\Bars\NewBarObj.mqh&gt;</t>
  </si>
  <si>
    <t>Include\Vendors\Anhnt\Library\4. Combination Lib\Timeseries\Bars\BarSeries</t>
  </si>
  <si>
    <t>BarPatternControl.mqh</t>
  </si>
  <si>
    <t>#include &lt;Vendors\Anhnt\Library\4. Combination Lib\Timeseries\Bars\BarSeries\BarPatternControl.mqh&gt;</t>
  </si>
  <si>
    <t>BarPatternsControl.mqh</t>
  </si>
  <si>
    <t>#include &lt;Vendors\Anhnt\Library\4. Combination Lib\Timeseries\Bars\BarSeries\BarPatternsControl.mqh&gt;</t>
  </si>
  <si>
    <t>BarSeriesDE.mqh</t>
  </si>
  <si>
    <t>#include &lt;Vendors\Anhnt\Library\4. Combination Lib\Timeseries\Bars\BarSeries\BarSeriesDE.mqh&gt;</t>
  </si>
  <si>
    <t>BarTimeSeriesDE.mqh</t>
  </si>
  <si>
    <t>#include &lt;Vendors\Anhnt\Library\4. Combination Lib\Timeseries\Bars\BarSeries\BarTimeSeriesDE.mqh&gt;</t>
  </si>
  <si>
    <t>Include\Vendors\Anhnt\Library\4. Combination Lib\Timeseries\Bars\BarSeries\DCandles</t>
  </si>
  <si>
    <t>BarPatternControlDarkCloudCover.mqh</t>
  </si>
  <si>
    <t>#include &lt;Vendors\Anhnt\Library\4. Combination Lib\Timeseries\Bars\BarSeries\DCandles\BarPatternControlDarkCloudCover.mqh&gt;</t>
  </si>
  <si>
    <t>BarPatternControlEngulfing.mqh</t>
  </si>
  <si>
    <t>#include &lt;Vendors\Anhnt\Library\4. Combination Lib\Timeseries\Bars\BarSeries\DCandles\BarPatternControlEngulfing.mqh&gt;</t>
  </si>
  <si>
    <t>BarPatternControlHarami.mqh</t>
  </si>
  <si>
    <t>#include &lt;Vendors\Anhnt\Library\4. Combination Lib\Timeseries\Bars\BarSeries\DCandles\BarPatternControlHarami.mqh&gt;</t>
  </si>
  <si>
    <t>BarPatternControlHaramiCross.mqh</t>
  </si>
  <si>
    <t>#include &lt;Vendors\Anhnt\Library\4. Combination Lib\Timeseries\Bars\BarSeries\DCandles\BarPatternControlHaramiCross.mqh&gt;</t>
  </si>
  <si>
    <t>BarPatternControlInsideBar.mqh</t>
  </si>
  <si>
    <t>#include &lt;Vendors\Anhnt\Library\4. Combination Lib\Timeseries\Bars\BarSeries\DCandles\BarPatternControlInsideBar.mqh&gt;</t>
  </si>
  <si>
    <t>BarPatternControlOutsideBar.mqh</t>
  </si>
  <si>
    <t>#include &lt;Vendors\Anhnt\Library\4. Combination Lib\Timeseries\Bars\BarSeries\DCandles\BarPatternControlOutsideBar.mqh&gt;</t>
  </si>
  <si>
    <t>BarPatternControlPiercingLine.mqh</t>
  </si>
  <si>
    <t>#include &lt;Vendors\Anhnt\Library\4. Combination Lib\Timeseries\Bars\BarSeries\DCandles\BarPatternControlPiercingLine.mqh&gt;</t>
  </si>
  <si>
    <t>BarPatternControlRails.mqh</t>
  </si>
  <si>
    <t>#include &lt;Vendors\Anhnt\Library\4. Combination Lib\Timeseries\Bars\BarSeries\DCandles\BarPatternControlRails.mqh&gt;</t>
  </si>
  <si>
    <t>BarPatternControlTweezer.mqh</t>
  </si>
  <si>
    <t>#include &lt;Vendors\Anhnt\Library\4. Combination Lib\Timeseries\Bars\BarSeries\DCandles\BarPatternControlTweezer.mqh&gt;</t>
  </si>
  <si>
    <t>Include\Vendors\Anhnt\Library\4. Combination Lib\Timeseries\Bars\BarSeries\SCandles</t>
  </si>
  <si>
    <t>BarPatternControlDoji.mqh</t>
  </si>
  <si>
    <t>#include &lt;Vendors\Anhnt\Library\4. Combination Lib\Timeseries\Bars\BarSeries\SCandles\BarPatternControlDoji.mqh&gt;</t>
  </si>
  <si>
    <t>BarPatternControlDragonflyDoji.mqh</t>
  </si>
  <si>
    <t>#include &lt;Vendors\Anhnt\Library\4. Combination Lib\Timeseries\Bars\BarSeries\SCandles\BarPatternControlDragonflyDoji.mqh&gt;</t>
  </si>
  <si>
    <t>BarPatternControlGravestoneDoji.mqh</t>
  </si>
  <si>
    <t>#include &lt;Vendors\Anhnt\Library\4. Combination Lib\Timeseries\Bars\BarSeries\SCandles\BarPatternControlGravestoneDoji.mqh&gt;</t>
  </si>
  <si>
    <t>BarPatternControlHammer.mqh</t>
  </si>
  <si>
    <t>#include &lt;Vendors\Anhnt\Library\4. Combination Lib\Timeseries\Bars\BarSeries\SCandles\BarPatternControlHammer.mqh&gt;</t>
  </si>
  <si>
    <t>BarPatternControlHangingMan.mqh</t>
  </si>
  <si>
    <t>#include &lt;Vendors\Anhnt\Library\4. Combination Lib\Timeseries\Bars\BarSeries\SCandles\BarPatternControlHangingMan.mqh&gt;</t>
  </si>
  <si>
    <t>BarPatternControlInvertedHammer.mqh</t>
  </si>
  <si>
    <t>#include &lt;Vendors\Anhnt\Library\4. Combination Lib\Timeseries\Bars\BarSeries\SCandles\BarPatternControlInvertedHammer.mqh&gt;</t>
  </si>
  <si>
    <t>BarPatternControlPinBar.mqh</t>
  </si>
  <si>
    <t>#include &lt;Vendors\Anhnt\Library\4. Combination Lib\Timeseries\Bars\BarSeries\SCandles\BarPatternControlPinBar.mqh&gt;</t>
  </si>
  <si>
    <t>BarPatternControlShootingStar.mqh</t>
  </si>
  <si>
    <t>#include &lt;Vendors\Anhnt\Library\4. Combination Lib\Timeseries\Bars\BarSeries\SCandles\BarPatternControlShootingStar.mqh&gt;</t>
  </si>
  <si>
    <t>Include\Vendors\Anhnt\Library\4. Combination Lib\Timeseries\Bars\BarSeries\TrCandles</t>
  </si>
  <si>
    <t>BarPatternControlAbandonedBaby.mqh</t>
  </si>
  <si>
    <t>#include &lt;Vendors\Anhnt\Library\4. Combination Lib\Timeseries\Bars\BarSeries\TrCandles\BarPatternControlAbandonedBaby.mqh&gt;</t>
  </si>
  <si>
    <t>BarPatternControlEveningDojiStar.mqh</t>
  </si>
  <si>
    <t>#include &lt;Vendors\Anhnt\Library\4. Combination Lib\Timeseries\Bars\BarSeries\TrCandles\BarPatternControlEveningDojiStar.mqh&gt;</t>
  </si>
  <si>
    <t>BarPatternControlEveningStar.mqh</t>
  </si>
  <si>
    <t>#include &lt;Vendors\Anhnt\Library\4. Combination Lib\Timeseries\Bars\BarSeries\TrCandles\BarPatternControlEveningStar.mqh&gt;</t>
  </si>
  <si>
    <t>BarPatternControlMorningDojiStar.mqh</t>
  </si>
  <si>
    <t>#include &lt;Vendors\Anhnt\Library\4. Combination Lib\Timeseries\Bars\BarSeries\TrCandles\BarPatternControlMorningDojiStar.mqh&gt;</t>
  </si>
  <si>
    <t>BarPatternControlMorningStar.mqh</t>
  </si>
  <si>
    <t>#include &lt;Vendors\Anhnt\Library\4. Combination Lib\Timeseries\Bars\BarSeries\TrCandles\BarPatternControlMorningStar.mqh&gt;</t>
  </si>
  <si>
    <t>BarPatternControlPivotPointReversal.mqh</t>
  </si>
  <si>
    <t>#include &lt;Vendors\Anhnt\Library\4. Combination Lib\Timeseries\Bars\BarSeries\TrCandles\BarPatternControlPivotPointReversal.mqh&gt;</t>
  </si>
  <si>
    <t>BarPatternControlThreeBlackCrows.mqh</t>
  </si>
  <si>
    <t>#include &lt;Vendors\Anhnt\Library\4. Combination Lib\Timeseries\Bars\BarSeries\TrCandles\BarPatternControlThreeBlackCrows.mqh&gt;</t>
  </si>
  <si>
    <t>BarPatternControlThreeInsideDown.mqh</t>
  </si>
  <si>
    <t>#include &lt;Vendors\Anhnt\Library\4. Combination Lib\Timeseries\Bars\BarSeries\TrCandles\BarPatternControlThreeInsideDown.mqh&gt;</t>
  </si>
  <si>
    <t>BarPatternControlThreeInsideUp.mqh</t>
  </si>
  <si>
    <t>#include &lt;Vendors\Anhnt\Library\4. Combination Lib\Timeseries\Bars\BarSeries\TrCandles\BarPatternControlThreeInsideUp.mqh&gt;</t>
  </si>
  <si>
    <t>BarPatternControlThreeStars.mqh</t>
  </si>
  <si>
    <t>#include &lt;Vendors\Anhnt\Library\4. Combination Lib\Timeseries\Bars\BarSeries\TrCandles\BarPatternControlThreeStars.mqh&gt;</t>
  </si>
  <si>
    <t>BarPatternControlThreeWhiteSoldiers.mqh</t>
  </si>
  <si>
    <t>#include &lt;Vendors\Anhnt\Library\4. Combination Lib\Timeseries\Bars\BarSeries\TrCandles\BarPatternControlThreeWhiteSoldiers.mqh&gt;</t>
  </si>
  <si>
    <t>Include\Vendors\Anhnt\Library\4. Combination Lib\Timeseries\Bars\BarSeriesPatterns</t>
  </si>
  <si>
    <t>BarPattern.mqh</t>
  </si>
  <si>
    <t>#include &lt;Vendors\Anhnt\Library\4. Combination Lib\Timeseries\Bars\BarSeriesPatterns\BarPattern.mqh&gt;</t>
  </si>
  <si>
    <t>Include\Vendors\Anhnt\Library\4. Combination Lib\Timeseries\Bars\BarSeriesPatterns\DCandlesPatterns</t>
  </si>
  <si>
    <t>PatternDarkCloudCover.mqh</t>
  </si>
  <si>
    <t>#include &lt;Vendors\Anhnt\Library\4. Combination Lib\Timeseries\Bars\BarSeriesPatterns\DCandlesPatterns\PatternDarkCloudCover.mqh&gt;</t>
  </si>
  <si>
    <t>PatternEngulfing.mqh</t>
  </si>
  <si>
    <t>#include &lt;Vendors\Anhnt\Library\4. Combination Lib\Timeseries\Bars\BarSeriesPatterns\DCandlesPatterns\PatternEngulfing.mqh&gt;</t>
  </si>
  <si>
    <t>PatternHarami.mqh</t>
  </si>
  <si>
    <t>#include &lt;Vendors\Anhnt\Library\4. Combination Lib\Timeseries\Bars\BarSeriesPatterns\DCandlesPatterns\PatternHarami.mqh&gt;</t>
  </si>
  <si>
    <t>PatternHaramiCross.mqh</t>
  </si>
  <si>
    <t>#include &lt;Vendors\Anhnt\Library\4. Combination Lib\Timeseries\Bars\BarSeriesPatterns\DCandlesPatterns\PatternHaramiCross.mqh&gt;</t>
  </si>
  <si>
    <t>#include &lt;Vendors\Anhnt\Library\4. Combination Lib\Timeseries\Bars\BarSeriesPatterns\DCandlesPatterns\PatternInsideBar.mqh&gt;</t>
  </si>
  <si>
    <t>#include &lt;Vendors\Anhnt\Library\4. Combination Lib\Timeseries\Bars\BarSeriesPatterns\DCandlesPatterns\PatternOutsideBar.mqh&gt;</t>
  </si>
  <si>
    <t>PatternPiercingLine.mqh</t>
  </si>
  <si>
    <t>#include &lt;Vendors\Anhnt\Library\4. Combination Lib\Timeseries\Bars\BarSeriesPatterns\DCandlesPatterns\PatternPiercingLine.mqh&gt;</t>
  </si>
  <si>
    <t>PatternRails.mqh</t>
  </si>
  <si>
    <t>#include &lt;Vendors\Anhnt\Library\4. Combination Lib\Timeseries\Bars\BarSeriesPatterns\DCandlesPatterns\PatternRails.mqh&gt;</t>
  </si>
  <si>
    <t>PatternTweezer.mqh</t>
  </si>
  <si>
    <t>#include &lt;Vendors\Anhnt\Library\4. Combination Lib\Timeseries\Bars\BarSeriesPatterns\DCandlesPatterns\PatternTweezer.mqh&gt;</t>
  </si>
  <si>
    <t>Include\Vendors\Anhnt\Library\4. Combination Lib\Timeseries\Bars\BarSeriesPatterns\SCandlesPatterns</t>
  </si>
  <si>
    <t>PatternDoji.mqh</t>
  </si>
  <si>
    <t>#include &lt;Vendors\Anhnt\Library\4. Combination Lib\Timeseries\Bars\BarSeriesPatterns\SCandlesPatterns\PatternDoji.mqh&gt;</t>
  </si>
  <si>
    <t>PatternDragonflyDoji.mqh</t>
  </si>
  <si>
    <t>#include &lt;Vendors\Anhnt\Library\4. Combination Lib\Timeseries\Bars\BarSeriesPatterns\SCandlesPatterns\PatternDragonflyDoji.mqh&gt;</t>
  </si>
  <si>
    <t>PatternGravestoneDoji.mqh</t>
  </si>
  <si>
    <t>#include &lt;Vendors\Anhnt\Library\4. Combination Lib\Timeseries\Bars\BarSeriesPatterns\SCandlesPatterns\PatternGravestoneDoji.mqh&gt;</t>
  </si>
  <si>
    <t>PatternHammer.mqh</t>
  </si>
  <si>
    <t>#include &lt;Vendors\Anhnt\Library\4. Combination Lib\Timeseries\Bars\BarSeriesPatterns\SCandlesPatterns\PatternHammer.mqh&gt;</t>
  </si>
  <si>
    <t>PatternHangingMan.mqh</t>
  </si>
  <si>
    <t>#include &lt;Vendors\Anhnt\Library\4. Combination Lib\Timeseries\Bars\BarSeriesPatterns\SCandlesPatterns\PatternHangingMan.mqh&gt;</t>
  </si>
  <si>
    <t>PatternInvertedHammer.mqh</t>
  </si>
  <si>
    <t>#include &lt;Vendors\Anhnt\Library\4. Combination Lib\Timeseries\Bars\BarSeriesPatterns\SCandlesPatterns\PatternInvertedHammer.mqh&gt;</t>
  </si>
  <si>
    <t>#include &lt;Vendors\Anhnt\Library\4. Combination Lib\Timeseries\Bars\BarSeriesPatterns\SCandlesPatterns\PatternPinBar.mqh&gt;</t>
  </si>
  <si>
    <t>PatternShootingStar.mqh</t>
  </si>
  <si>
    <t>#include &lt;Vendors\Anhnt\Library\4. Combination Lib\Timeseries\Bars\BarSeriesPatterns\SCandlesPatterns\PatternShootingStar.mqh&gt;</t>
  </si>
  <si>
    <t>Include\Vendors\Anhnt\Library\4. Combination Lib\Timeseries\Bars\BarSeriesPatterns\TrCandlesPatterns</t>
  </si>
  <si>
    <t>PatternAbandonedBaby.mqh</t>
  </si>
  <si>
    <t>#include &lt;Vendors\Anhnt\Library\4. Combination Lib\Timeseries\Bars\BarSeriesPatterns\TrCandlesPatterns\PatternAbandonedBaby.mqh&gt;</t>
  </si>
  <si>
    <t>PatternEveningDojiStar.mqh</t>
  </si>
  <si>
    <t>#include &lt;Vendors\Anhnt\Library\4. Combination Lib\Timeseries\Bars\BarSeriesPatterns\TrCandlesPatterns\PatternEveningDojiStar.mqh&gt;</t>
  </si>
  <si>
    <t>PatternEveningStar.mqh</t>
  </si>
  <si>
    <t>#include &lt;Vendors\Anhnt\Library\4. Combination Lib\Timeseries\Bars\BarSeriesPatterns\TrCandlesPatterns\PatternEveningStar.mqh&gt;</t>
  </si>
  <si>
    <t>PatternMorningDojiStar.mqh</t>
  </si>
  <si>
    <t>#include &lt;Vendors\Anhnt\Library\4. Combination Lib\Timeseries\Bars\BarSeriesPatterns\TrCandlesPatterns\PatternMorningDojiStar.mqh&gt;</t>
  </si>
  <si>
    <t>PatternMorningStar.mqh</t>
  </si>
  <si>
    <t>#include &lt;Vendors\Anhnt\Library\4. Combination Lib\Timeseries\Bars\BarSeriesPatterns\TrCandlesPatterns\PatternMorningStar.mqh&gt;</t>
  </si>
  <si>
    <t>PatternPivotPointReversal.mqh</t>
  </si>
  <si>
    <t>#include &lt;Vendors\Anhnt\Library\4. Combination Lib\Timeseries\Bars\BarSeriesPatterns\TrCandlesPatterns\PatternPivotPointReversal.mqh&gt;</t>
  </si>
  <si>
    <t>PatternThreeBlackCrows.mqh</t>
  </si>
  <si>
    <t>#include &lt;Vendors\Anhnt\Library\4. Combination Lib\Timeseries\Bars\BarSeriesPatterns\TrCandlesPatterns\PatternThreeBlackCrows.mqh&gt;</t>
  </si>
  <si>
    <t>PatternThreeInsideDown.mqh</t>
  </si>
  <si>
    <t>#include &lt;Vendors\Anhnt\Library\4. Combination Lib\Timeseries\Bars\BarSeriesPatterns\TrCandlesPatterns\PatternThreeInsideDown.mqh&gt;</t>
  </si>
  <si>
    <t>PatternThreeInsideUp.mqh</t>
  </si>
  <si>
    <t>#include &lt;Vendors\Anhnt\Library\4. Combination Lib\Timeseries\Bars\BarSeriesPatterns\TrCandlesPatterns\PatternThreeInsideUp.mqh&gt;</t>
  </si>
  <si>
    <t>PatternThreeStars.mqh</t>
  </si>
  <si>
    <t>#include &lt;Vendors\Anhnt\Library\4. Combination Lib\Timeseries\Bars\BarSeriesPatterns\TrCandlesPatterns\PatternThreeStars.mqh&gt;</t>
  </si>
  <si>
    <t>PatternThreeWhiteSoldiers.mqh</t>
  </si>
  <si>
    <t>#include &lt;Vendors\Anhnt\Library\4. Combination Lib\Timeseries\Bars\BarSeriesPatterns\TrCandlesPatterns\PatternThreeWhiteSoldiers.mqh&gt;</t>
  </si>
  <si>
    <t>Include\Vendors\Anhnt\Library\4. Combination Lib\Timeseries\Indicators</t>
  </si>
  <si>
    <t>#include &lt;Vendors\Anhnt\Library\4. Combination Lib\Timeseries\Indicators\Buffer.mqh&gt;</t>
  </si>
  <si>
    <t>#include &lt;Vendors\Anhnt\Library\4. Combination Lib\Timeseries\Indicators\BufferArrow.mqh&gt;</t>
  </si>
  <si>
    <t>#include &lt;Vendors\Anhnt\Library\4. Combination Lib\Timeseries\Indicators\BufferBars.mqh&gt;</t>
  </si>
  <si>
    <t>#include &lt;Vendors\Anhnt\Library\4. Combination Lib\Timeseries\Indicators\BufferCalculate.mqh&gt;</t>
  </si>
  <si>
    <t>#include &lt;Vendors\Anhnt\Library\4. Combination Lib\Timeseries\Indicators\BufferCandles.mqh&gt;</t>
  </si>
  <si>
    <t>#include &lt;Vendors\Anhnt\Library\4. Combination Lib\Timeseries\Indicators\BufferFilling.mqh&gt;</t>
  </si>
  <si>
    <t>#include &lt;Vendors\Anhnt\Library\4. Combination Lib\Timeseries\Indicators\BufferHistogram.mqh&gt;</t>
  </si>
  <si>
    <t>#include &lt;Vendors\Anhnt\Library\4. Combination Lib\Timeseries\Indicators\BufferHistogram2.mqh&gt;</t>
  </si>
  <si>
    <t>#include &lt;Vendors\Anhnt\Library\4. Combination Lib\Timeseries\Indicators\BufferLine.mqh&gt;</t>
  </si>
  <si>
    <t>#include &lt;Vendors\Anhnt\Library\4. Combination Lib\Timeseries\Indicators\BufferSection.mqh&gt;</t>
  </si>
  <si>
    <t>#include &lt;Vendors\Anhnt\Library\4. Combination Lib\Timeseries\Indicators\BufferZigZag.mqh&gt;</t>
  </si>
  <si>
    <t>#include &lt;Vendors\Anhnt\Library\4. Combination Lib\Timeseries\Indicators\DataInd.mqh&gt;</t>
  </si>
  <si>
    <t>#include &lt;Vendors\Anhnt\Library\4. Combination Lib\Timeseries\Indicators\IndicatorDE.mqh&gt;</t>
  </si>
  <si>
    <t>#include &lt;Vendors\Anhnt\Library\4. Combination Lib\Timeseries\Indicators\SeriesDataInd.mqh&gt;</t>
  </si>
  <si>
    <t>Include\Vendors\Anhnt\Library\4. Combination Lib\Timeseries\Indicators\Standard</t>
  </si>
  <si>
    <t>#include &lt;Vendors\Anhnt\Library\4. Combination Lib\Timeseries\Indicators\Standard\IndAC.mqh&gt;</t>
  </si>
  <si>
    <t>#include &lt;Vendors\Anhnt\Library\4. Combination Lib\Timeseries\Indicators\Standard\IndAD.mqh&gt;</t>
  </si>
  <si>
    <t>#include &lt;Vendors\Anhnt\Library\4. Combination Lib\Timeseries\Indicators\Standard\IndADX.mqh&gt;</t>
  </si>
  <si>
    <t>#include &lt;Vendors\Anhnt\Library\4. Combination Lib\Timeseries\Indicators\Standard\IndADXW.mqh&gt;</t>
  </si>
  <si>
    <t>#include &lt;Vendors\Anhnt\Library\4. Combination Lib\Timeseries\Indicators\Standard\IndAlligator.mqh&gt;</t>
  </si>
  <si>
    <t>#include &lt;Vendors\Anhnt\Library\4. Combination Lib\Timeseries\Indicators\Standard\IndAMA.mqh&gt;</t>
  </si>
  <si>
    <t>#include &lt;Vendors\Anhnt\Library\4. Combination Lib\Timeseries\Indicators\Standard\IndAO.mqh&gt;</t>
  </si>
  <si>
    <t>#include &lt;Vendors\Anhnt\Library\4. Combination Lib\Timeseries\Indicators\Standard\IndATR.mqh&gt;</t>
  </si>
  <si>
    <t>#include &lt;Vendors\Anhnt\Library\4. Combination Lib\Timeseries\Indicators\Standard\IndBands.mqh&gt;</t>
  </si>
  <si>
    <t>#include &lt;Vendors\Anhnt\Library\4. Combination Lib\Timeseries\Indicators\Standard\IndBears.mqh&gt;</t>
  </si>
  <si>
    <t>#include &lt;Vendors\Anhnt\Library\4. Combination Lib\Timeseries\Indicators\Standard\IndBulls.mqh&gt;</t>
  </si>
  <si>
    <t>#include &lt;Vendors\Anhnt\Library\4. Combination Lib\Timeseries\Indicators\Standard\IndBWMFI.mqh&gt;</t>
  </si>
  <si>
    <t>#include &lt;Vendors\Anhnt\Library\4. Combination Lib\Timeseries\Indicators\Standard\IndCCI.mqh&gt;</t>
  </si>
  <si>
    <t>#include &lt;Vendors\Anhnt\Library\4. Combination Lib\Timeseries\Indicators\Standard\IndChaikin.mqh&gt;</t>
  </si>
  <si>
    <t>#include &lt;Vendors\Anhnt\Library\4. Combination Lib\Timeseries\Indicators\Standard\IndCustom.mqh&gt;</t>
  </si>
  <si>
    <t>#include &lt;Vendors\Anhnt\Library\4. Combination Lib\Timeseries\Indicators\Standard\IndDEMA.mqh&gt;</t>
  </si>
  <si>
    <t>#include &lt;Vendors\Anhnt\Library\4. Combination Lib\Timeseries\Indicators\Standard\IndDeMarker.mqh&gt;</t>
  </si>
  <si>
    <t>#include &lt;Vendors\Anhnt\Library\4. Combination Lib\Timeseries\Indicators\Standard\IndEnvelopes.mqh&gt;</t>
  </si>
  <si>
    <t>#include &lt;Vendors\Anhnt\Library\4. Combination Lib\Timeseries\Indicators\Standard\IndForce.mqh&gt;</t>
  </si>
  <si>
    <t>#include &lt;Vendors\Anhnt\Library\4. Combination Lib\Timeseries\Indicators\Standard\IndFractals.mqh&gt;</t>
  </si>
  <si>
    <t>#include &lt;Vendors\Anhnt\Library\4. Combination Lib\Timeseries\Indicators\Standard\IndFRAMA.mqh&gt;</t>
  </si>
  <si>
    <t>#include &lt;Vendors\Anhnt\Library\4. Combination Lib\Timeseries\Indicators\Standard\IndGator.mqh&gt;</t>
  </si>
  <si>
    <t>#include &lt;Vendors\Anhnt\Library\4. Combination Lib\Timeseries\Indicators\Standard\IndIchimoku.mqh&gt;</t>
  </si>
  <si>
    <t>#include &lt;Vendors\Anhnt\Library\4. Combination Lib\Timeseries\Indicators\Standard\IndMA.mqh&gt;</t>
  </si>
  <si>
    <t>#include &lt;Vendors\Anhnt\Library\4. Combination Lib\Timeseries\Indicators\Standard\IndMACD.mqh&gt;</t>
  </si>
  <si>
    <t>#include &lt;Vendors\Anhnt\Library\4. Combination Lib\Timeseries\Indicators\Standard\IndMFI.mqh&gt;</t>
  </si>
  <si>
    <t>#include &lt;Vendors\Anhnt\Library\4. Combination Lib\Timeseries\Indicators\Standard\IndMomentum.mqh&gt;</t>
  </si>
  <si>
    <t>#include &lt;Vendors\Anhnt\Library\4. Combination Lib\Timeseries\Indicators\Standard\IndOBV.mqh&gt;</t>
  </si>
  <si>
    <t>#include &lt;Vendors\Anhnt\Library\4. Combination Lib\Timeseries\Indicators\Standard\IndOsMA.mqh&gt;</t>
  </si>
  <si>
    <t>#include &lt;Vendors\Anhnt\Library\4. Combination Lib\Timeseries\Indicators\Standard\IndRSI.mqh&gt;</t>
  </si>
  <si>
    <t>#include &lt;Vendors\Anhnt\Library\4. Combination Lib\Timeseries\Indicators\Standard\IndRVI.mqh&gt;</t>
  </si>
  <si>
    <t>#include &lt;Vendors\Anhnt\Library\4. Combination Lib\Timeseries\Indicators\Standard\IndSAR.mqh&gt;</t>
  </si>
  <si>
    <t>#include &lt;Vendors\Anhnt\Library\4. Combination Lib\Timeseries\Indicators\Standard\IndStDev.mqh&gt;</t>
  </si>
  <si>
    <t>#include &lt;Vendors\Anhnt\Library\4. Combination Lib\Timeseries\Indicators\Standard\IndStoch.mqh&gt;</t>
  </si>
  <si>
    <t>#include &lt;Vendors\Anhnt\Library\4. Combination Lib\Timeseries\Indicators\Standard\IndTEMA.mqh&gt;</t>
  </si>
  <si>
    <t>#include &lt;Vendors\Anhnt\Library\4. Combination Lib\Timeseries\Indicators\Standard\IndTRIX.mqh&gt;</t>
  </si>
  <si>
    <t>#include &lt;Vendors\Anhnt\Library\4. Combination Lib\Timeseries\Indicators\Standard\IndVIDYA.mqh&gt;</t>
  </si>
  <si>
    <t>#include &lt;Vendors\Anhnt\Library\4. Combination Lib\Timeseries\Indicators\Standard\IndVolumes.mqh&gt;</t>
  </si>
  <si>
    <t>#include &lt;Vendors\Anhnt\Library\4. Combination Lib\Timeseries\Indicators\Standard\IndWPR.mqh&gt;</t>
  </si>
  <si>
    <t>Include\Vendors\Anhnt\Library\4. Combination Lib\Timeseries\Ticks</t>
  </si>
  <si>
    <t>#include &lt;Vendors\Anhnt\Library\4. Combination Lib\Timeseries\Ticks\DataTick.mqh&gt;</t>
  </si>
  <si>
    <t>#include &lt;Vendors\Anhnt\Library\4. Combination Lib\Timeseries\Ticks\NewTickObj.mqh&gt;</t>
  </si>
  <si>
    <t>#include &lt;Vendors\Anhnt\Library\4. Combination Lib\Timeseries\Ticks\TickSeries.mqh&gt;</t>
  </si>
  <si>
    <t>Include\Vendors\Anhnt\Library\4. Combination Lib\Trading</t>
  </si>
  <si>
    <t>#include &lt;Vendors\Anhnt\Library\4. Combination Lib\Trading\TradeObj.mqh&gt;</t>
  </si>
  <si>
    <t>Include\Vendors\Anhnt\Library\4. Combination Lib\Trading\Accounts</t>
  </si>
  <si>
    <t>#include &lt;Vendors\Anhnt\Library\4. Combination Lib\Trading\Accounts\Account.mqh&gt;</t>
  </si>
  <si>
    <t>Include\Vendors\Anhnt\Library\4. Combination Lib\Trading\Book</t>
  </si>
  <si>
    <t>#include &lt;Vendors\Anhnt\Library\4. Combination Lib\Trading\Book\MarketBookBuy.mqh&gt;</t>
  </si>
  <si>
    <t>#include &lt;Vendors\Anhnt\Library\4. Combination Lib\Trading\Book\MarketBookBuyMarket.mqh&gt;</t>
  </si>
  <si>
    <t>#include &lt;Vendors\Anhnt\Library\4. Combination Lib\Trading\Book\MarketBookOrd.mqh&gt;</t>
  </si>
  <si>
    <t>#include &lt;Vendors\Anhnt\Library\4. Combination Lib\Trading\Book\MarketBookSell.mqh&gt;</t>
  </si>
  <si>
    <t>#include &lt;Vendors\Anhnt\Library\4. Combination Lib\Trading\Book\MarketBookSellMarket.mqh&gt;</t>
  </si>
  <si>
    <t>#include &lt;Vendors\Anhnt\Library\4. Combination Lib\Trading\Book\MarketBookSnapshot.mqh&gt;</t>
  </si>
  <si>
    <t>#include &lt;Vendors\Anhnt\Library\4. Combination Lib\Trading\Book\MBookSeries.mqh&gt;</t>
  </si>
  <si>
    <t>Include\Vendors\Anhnt\Library\4. Combination Lib\Trading\Events</t>
  </si>
  <si>
    <t>#include &lt;Vendors\Anhnt\Library\4. Combination Lib\Trading\Events\Event.mqh&gt;</t>
  </si>
  <si>
    <t>#include &lt;Vendors\Anhnt\Library\4. Combination Lib\Trading\Events\EventBalanceOperation.mqh&gt;</t>
  </si>
  <si>
    <t>#include &lt;Vendors\Anhnt\Library\4. Combination Lib\Trading\Events\EventModify.mqh&gt;</t>
  </si>
  <si>
    <t>#include &lt;Vendors\Anhnt\Library\4. Combination Lib\Trading\Events\EventOrderPlaced.mqh&gt;</t>
  </si>
  <si>
    <t>#include &lt;Vendors\Anhnt\Library\4. Combination Lib\Trading\Events\EventOrderRemoved.mqh&gt;</t>
  </si>
  <si>
    <t>#include &lt;Vendors\Anhnt\Library\4. Combination Lib\Trading\Events\EventPositionClose.mqh&gt;</t>
  </si>
  <si>
    <t>#include &lt;Vendors\Anhnt\Library\4. Combination Lib\Trading\Events\EventPositionOpen.mqh&gt;</t>
  </si>
  <si>
    <t>Include\Vendors\Anhnt\Library\4. Combination Lib\Trading\Orders</t>
  </si>
  <si>
    <t>#include &lt;Vendors\Anhnt\Library\4. Combination Lib\Trading\Orders\HistoryBalance.mqh&gt;</t>
  </si>
  <si>
    <t>#include &lt;Vendors\Anhnt\Library\4. Combination Lib\Trading\Orders\HistoryDeal.mqh&gt;</t>
  </si>
  <si>
    <t>#include &lt;Vendors\Anhnt\Library\4. Combination Lib\Trading\Orders\HistoryOrder.mqh&gt;</t>
  </si>
  <si>
    <t>#include &lt;Vendors\Anhnt\Library\4. Combination Lib\Trading\Orders\HistoryPending.mqh&gt;</t>
  </si>
  <si>
    <t>#include &lt;Vendors\Anhnt\Library\4. Combination Lib\Trading\Orders\MarketOrder.mqh&gt;</t>
  </si>
  <si>
    <t>#include &lt;Vendors\Anhnt\Library\4. Combination Lib\Trading\Orders\MarketPending.mqh&gt;</t>
  </si>
  <si>
    <t>#include &lt;Vendors\Anhnt\Library\4. Combination Lib\Trading\Orders\MarketPosition.mqh&gt;</t>
  </si>
  <si>
    <t>#include &lt;Vendors\Anhnt\Library\4. Combination Lib\Trading\Orders\Order.mqh&gt;</t>
  </si>
  <si>
    <t>Include\Vendors\Anhnt\Library\4. Combination Lib\Trading\PendRequest</t>
  </si>
  <si>
    <t>#include &lt;Vendors\Anhnt\Library\4. Combination Lib\Trading\PendRequest\PendReqClose.mqh&gt;</t>
  </si>
  <si>
    <t>#include &lt;Vendors\Anhnt\Library\4. Combination Lib\Trading\PendRequest\PendReqModify.mqh&gt;</t>
  </si>
  <si>
    <t>#include &lt;Vendors\Anhnt\Library\4. Combination Lib\Trading\PendRequest\PendReqOpen.mqh&gt;</t>
  </si>
  <si>
    <t>#include &lt;Vendors\Anhnt\Library\4. Combination Lib\Trading\PendRequest\PendReqPlace.mqh&gt;</t>
  </si>
  <si>
    <t>#include &lt;Vendors\Anhnt\Library\4. Combination Lib\Trading\PendRequest\PendReqRemove.mqh&gt;</t>
  </si>
  <si>
    <t>#include &lt;Vendors\Anhnt\Library\4. Combination Lib\Trading\PendRequest\PendReqSLTP.mqh&gt;</t>
  </si>
  <si>
    <t>#include &lt;Vendors\Anhnt\Library\4. Combination Lib\Trading\PendRequest\PendRequest.mqh&gt;</t>
  </si>
  <si>
    <t>Include\Vendors\Anhnt\Library\4. Combination Lib\Trading\Symbols</t>
  </si>
  <si>
    <t>#include &lt;Vendors\Anhnt\Library\4. Combination Lib\Trading\Symbols\Symbol.mqh&gt;</t>
  </si>
  <si>
    <t>#include &lt;Vendors\Anhnt\Library\4. Combination Lib\Trading\Symbols\SymbolBonds.mqh&gt;</t>
  </si>
  <si>
    <t>#include &lt;Vendors\Anhnt\Library\4. Combination Lib\Trading\Symbols\SymbolCFD.mqh&gt;</t>
  </si>
  <si>
    <t>#include &lt;Vendors\Anhnt\Library\4. Combination Lib\Trading\Symbols\SymbolCollateral.mqh&gt;</t>
  </si>
  <si>
    <t>#include &lt;Vendors\Anhnt\Library\4. Combination Lib\Trading\Symbols\SymbolCommodity.mqh&gt;</t>
  </si>
  <si>
    <t>#include &lt;Vendors\Anhnt\Library\4. Combination Lib\Trading\Symbols\SymbolCommon.mqh&gt;</t>
  </si>
  <si>
    <t>#include &lt;Vendors\Anhnt\Library\4. Combination Lib\Trading\Symbols\SymbolCrypto.mqh&gt;</t>
  </si>
  <si>
    <t>#include &lt;Vendors\Anhnt\Library\4. Combination Lib\Trading\Symbols\SymbolCustom.mqh&gt;</t>
  </si>
  <si>
    <t>#include &lt;Vendors\Anhnt\Library\4. Combination Lib\Trading\Symbols\SymbolExchange.mqh&gt;</t>
  </si>
  <si>
    <t>#include &lt;Vendors\Anhnt\Library\4. Combination Lib\Trading\Symbols\SymbolFutures.mqh&gt;</t>
  </si>
  <si>
    <t>#include &lt;Vendors\Anhnt\Library\4. Combination Lib\Trading\Symbols\SymbolFX.mqh&gt;</t>
  </si>
  <si>
    <t>#include &lt;Vendors\Anhnt\Library\4. Combination Lib\Trading\Symbols\SymbolFXExotic.mqh&gt;</t>
  </si>
  <si>
    <t>#include &lt;Vendors\Anhnt\Library\4. Combination Lib\Trading\Symbols\SymbolFXMajor.mqh&gt;</t>
  </si>
  <si>
    <t>#include &lt;Vendors\Anhnt\Library\4. Combination Lib\Trading\Symbols\SymbolFXMinor.mqh&gt;</t>
  </si>
  <si>
    <t>#include &lt;Vendors\Anhnt\Library\4. Combination Lib\Trading\Symbols\SymbolFXRub.mqh&gt;</t>
  </si>
  <si>
    <t>#include &lt;Vendors\Anhnt\Library\4. Combination Lib\Trading\Symbols\SymbolIndex.mqh&gt;</t>
  </si>
  <si>
    <t>#include &lt;Vendors\Anhnt\Library\4. Combination Lib\Trading\Symbols\SymbolIndicative.mqh&gt;</t>
  </si>
  <si>
    <t>#include &lt;Vendors\Anhnt\Library\4. Combination Lib\Trading\Symbols\SymbolMetall.mqh&gt;</t>
  </si>
  <si>
    <t>#include &lt;Vendors\Anhnt\Library\4. Combination Lib\Trading\Symbols\SymbolOption.mqh&gt;</t>
  </si>
  <si>
    <t>#include &lt;Vendors\Anhnt\Library\4. Combination Lib\Trading\Symbols\SymbolStocks.mqh&gt;</t>
  </si>
  <si>
    <t>Properties.mqh</t>
  </si>
  <si>
    <t>CBaseEvent</t>
  </si>
  <si>
    <t>CObject</t>
  </si>
  <si>
    <t>#include "..\..\Base\BaseEvent.mqh"</t>
  </si>
  <si>
    <t>CBaseObj</t>
  </si>
  <si>
    <t>#include "..\..\Base\BaseObj.mqh"</t>
  </si>
  <si>
    <t>CBaseObjExt</t>
  </si>
  <si>
    <t>#include "..\..\Base\BaseObjExt.mqh"</t>
  </si>
  <si>
    <t>CEventBaseObj</t>
  </si>
  <si>
    <t>#include "..\..\Base\EventBaseObj.mqh"</t>
  </si>
  <si>
    <t>Chart</t>
  </si>
  <si>
    <t>CChartObj</t>
  </si>
  <si>
    <t>#include "..\..\Chart\ChartObj.mqh"</t>
  </si>
  <si>
    <t>CChartObjectsControl</t>
  </si>
  <si>
    <t>#include "..\..\Chart\ChartObjectsControl.mqh"</t>
  </si>
  <si>
    <t>CChartWnd</t>
  </si>
  <si>
    <t>#include "..\..\Chart\ChartWnd.mqh"</t>
  </si>
  <si>
    <t>CWndInd</t>
  </si>
  <si>
    <t>#include "..\..\Chart\WndInd.mqh"</t>
  </si>
  <si>
    <t>Collections</t>
  </si>
  <si>
    <t>CAccountsCollection</t>
  </si>
  <si>
    <t>#include "..\..\Collections\AccountsCollection.mqh"</t>
  </si>
  <si>
    <t>CBarTimeSeriesCollection</t>
  </si>
  <si>
    <t>#include "..\..\Collections\BarTimeSeriesCollection.mqh"</t>
  </si>
  <si>
    <t>CMBookSeriesCollection</t>
  </si>
  <si>
    <t>#include "..\..\Collections\BookSeriesCollection.mqh"</t>
  </si>
  <si>
    <t>CBuffersCollection</t>
  </si>
  <si>
    <t>#include "..\..\Collections\BuffersCollection.mqh"</t>
  </si>
  <si>
    <t>CChartObjCollection</t>
  </si>
  <si>
    <t>#include "..\..\Collections\ChartObjCollection.mqh"</t>
  </si>
  <si>
    <t>CEventsCollection</t>
  </si>
  <si>
    <t>#include "..\..\Collections\EventsCollection.mqh"</t>
  </si>
  <si>
    <t>CGraphElementsCollection</t>
  </si>
  <si>
    <t>#include "..\..\Collections\GraphElementsCollection.mqh"</t>
  </si>
  <si>
    <t>CHistoryCollection</t>
  </si>
  <si>
    <t>#include "..\..\Collections\HistoryCollection.mqh"</t>
  </si>
  <si>
    <t>CIndicatorsCollection</t>
  </si>
  <si>
    <t>#include "..\..\Collections\IndicatorsCollection.mqh"</t>
  </si>
  <si>
    <t>CListObj</t>
  </si>
  <si>
    <t>CArrayObj</t>
  </si>
  <si>
    <t>#include "..\..\Collections\ListObj.mqh"</t>
  </si>
  <si>
    <t>CMarketCollection</t>
  </si>
  <si>
    <t>#include "..\..\Collections\MarketCollection.mqh"</t>
  </si>
  <si>
    <t>CSymbolsCollection</t>
  </si>
  <si>
    <t>#include "..\..\Collections\SymbolsCollection.mqh"</t>
  </si>
  <si>
    <t>CTickSeriesCollection</t>
  </si>
  <si>
    <t>#include "..\..\Collections\TickSeriesCollection.mqh"</t>
  </si>
  <si>
    <t>Defines</t>
  </si>
  <si>
    <t>ChartDefines.mqh</t>
  </si>
  <si>
    <t>#include "..\..\Defines\ChartDefines.mqh"</t>
  </si>
  <si>
    <t>#include &lt;Vendors\Anhnt\Library\4. Combination Lib\Defines\ChartDefines.mqh&gt;</t>
  </si>
  <si>
    <t>CommonDefines.mqh</t>
  </si>
  <si>
    <t>#include "..\..\Defines\CommonDefines.mqh"</t>
  </si>
  <si>
    <t>#include &lt;Vendors\Anhnt\Library\4. Combination Lib\Defines\CommonDefines.mqh&gt;</t>
  </si>
  <si>
    <t>Defines temp.mqh</t>
  </si>
  <si>
    <t>#include "..\..\Defines\Defines temp.mqh"</t>
  </si>
  <si>
    <t>#include &lt;Vendors\Anhnt\Library\4. Combination Lib\Defines\Defines temp.mqh&gt;</t>
  </si>
  <si>
    <t>EventDefines.mqh</t>
  </si>
  <si>
    <t>#include "..\..\Defines\EventDefines.mqh"</t>
  </si>
  <si>
    <t>#include &lt;Vendors\Anhnt\Library\4. Combination Lib\Defines\EventDefines.mqh&gt;</t>
  </si>
  <si>
    <t>GraphDefines.mqh</t>
  </si>
  <si>
    <t>#include "..\..\Defines\GraphDefines.mqh"</t>
  </si>
  <si>
    <t>#include &lt;Vendors\Anhnt\Library\4. Combination Lib\Defines\GraphDefines.mqh&gt;</t>
  </si>
  <si>
    <t>GUIDefines.mqh</t>
  </si>
  <si>
    <t>#include "..\..\Defines\GUIDefines.mqh"</t>
  </si>
  <si>
    <t>#include &lt;Vendors\Anhnt\Library\4. Combination Lib\Defines\GUIDefines.mqh&gt;</t>
  </si>
  <si>
    <t>ImageDataDefine.mqh</t>
  </si>
  <si>
    <t>#include "..\..\Defines\ImageDataDefine.mqh"</t>
  </si>
  <si>
    <t>#include &lt;Vendors\Anhnt\Library\4. Combination Lib\Defines\ImageDataDefine.mqh&gt;</t>
  </si>
  <si>
    <t>#include "..\..\Defines\KeyCodes.mqh"</t>
  </si>
  <si>
    <t>#include &lt;Vendors\Anhnt\Library\4. Combination Lib\Defines\KeyCodes.mqh&gt;</t>
  </si>
  <si>
    <t>MouseDefines.mqh</t>
  </si>
  <si>
    <t>#include "..\..\Defines\MouseDefines.mqh"</t>
  </si>
  <si>
    <t>#include &lt;Vendors\Anhnt\Library\4. Combination Lib\Defines\MouseDefines.mqh&gt;</t>
  </si>
  <si>
    <t>TimeseriesDefines.mqh</t>
  </si>
  <si>
    <t>#include "..\..\Defines\TimeseriesDefines.mqh"</t>
  </si>
  <si>
    <t>#include &lt;Vendors\Anhnt\Library\4. Combination Lib\Defines\TimeseriesDefines.mqh&gt;</t>
  </si>
  <si>
    <t>TradingDefines.mqh</t>
  </si>
  <si>
    <t>#include "..\..\Defines\TradingDefines.mqh"</t>
  </si>
  <si>
    <t>#include &lt;Vendors\Anhnt\Library\4. Combination Lib\Defines\TradingDefines.mqh&gt;</t>
  </si>
  <si>
    <t>Graph</t>
  </si>
  <si>
    <t>CForm</t>
  </si>
  <si>
    <t>CGCnvElement</t>
  </si>
  <si>
    <t>#include "..\..\Graph\Form.mqh"</t>
  </si>
  <si>
    <t>CGBaseObj</t>
  </si>
  <si>
    <t>#include "..\..\Graph\GCnvElement.mqh"</t>
  </si>
  <si>
    <t>CGraphElmControl</t>
  </si>
  <si>
    <t>#include "..\..\Graph\GraphElmControl.mqh"</t>
  </si>
  <si>
    <t>#include "..\..\Graph\GraphINI.mqh"</t>
  </si>
  <si>
    <t>CShadowObj</t>
  </si>
  <si>
    <t>#include "..\..\Graph\ShadowObj.mqh"</t>
  </si>
  <si>
    <t>Graph\Animations</t>
  </si>
  <si>
    <t>CAnimations</t>
  </si>
  <si>
    <t>#include "..\..\Graph\Animations\Animations.mqh"</t>
  </si>
  <si>
    <t>CPixelCopier</t>
  </si>
  <si>
    <t>#include "..\..\Graph\Animations\Frame.mqh"</t>
  </si>
  <si>
    <t>CFrame</t>
  </si>
  <si>
    <t>CFrameGeometry</t>
  </si>
  <si>
    <t>#include "..\..\Graph\Animations\FrameGeometry.mqh"</t>
  </si>
  <si>
    <t>CFrameQuad</t>
  </si>
  <si>
    <t>#include "..\..\Graph\Animations\FrameQuad.mqh"</t>
  </si>
  <si>
    <t>CFrameText</t>
  </si>
  <si>
    <t>#include "..\..\Graph\Animations\FrameText.mqh"</t>
  </si>
  <si>
    <t>Graph\Bitmaps</t>
  </si>
  <si>
    <t>CGCnvBitmap</t>
  </si>
  <si>
    <t>#include "..\..\Graph\Bitmaps\GCnvBitmap.mqh"</t>
  </si>
  <si>
    <t>CGCnvPatternBitmap</t>
  </si>
  <si>
    <t>#include "..\..\Graph\Bitmaps\GCnvPatternBitmap.mqh"</t>
  </si>
  <si>
    <t>Graph\Extend</t>
  </si>
  <si>
    <t>CFormControl</t>
  </si>
  <si>
    <t>#include "..\..\Graph\Extend\CGStdGraphObjExtToolkit.mqh"</t>
  </si>
  <si>
    <t>CGStdGraphObjExtToolkit</t>
  </si>
  <si>
    <t>Graph\Extended</t>
  </si>
  <si>
    <t>CGStdArrowBuyObj</t>
  </si>
  <si>
    <t>CGStdGraphObj</t>
  </si>
  <si>
    <t>#include "..\..\Graph\Extended\GStdArrowBuyObjExt.mqh"</t>
  </si>
  <si>
    <t>CGStdArrowCheckObj</t>
  </si>
  <si>
    <t>#include "..\..\Graph\Extended\GStdArrowCheckObjExt.mqh"</t>
  </si>
  <si>
    <t>CGStdArrowDownObj</t>
  </si>
  <si>
    <t>#include "..\..\Graph\Extended\GStdArrowDownObjExt.mqh"</t>
  </si>
  <si>
    <t>CGStdArrowedLineObj</t>
  </si>
  <si>
    <t>#include "..\..\Graph\Extended\GStdArrowedLineObjExt.mqh"</t>
  </si>
  <si>
    <t>CGStdArrowLeftPriceObj</t>
  </si>
  <si>
    <t>#include "..\..\Graph\Extended\GStdArrowLeftPriceObjExt.mqh"</t>
  </si>
  <si>
    <t>CGStdArrowObj</t>
  </si>
  <si>
    <t>#include "..\..\Graph\Extended\GStdArrowObjExt.mqh"</t>
  </si>
  <si>
    <t>CGStdArrowRightPriceObj</t>
  </si>
  <si>
    <t>#include "..\..\Graph\Extended\GStdArrowRightPriceObjExt.mqh"</t>
  </si>
  <si>
    <t>CGStdArrowSellObj</t>
  </si>
  <si>
    <t>#include "..\..\Graph\Extended\GStdArrowSellObjExt.mqh"</t>
  </si>
  <si>
    <t>CGStdArrowStopObj</t>
  </si>
  <si>
    <t>#include "..\..\Graph\Extended\GStdArrowStopObjExt.mqh"</t>
  </si>
  <si>
    <t>CGStdArrowThumbDownObj</t>
  </si>
  <si>
    <t>#include "..\..\Graph\Extended\GStdArrowThumbDownObjExt.mqh"</t>
  </si>
  <si>
    <t>CGStdArrowThumbUpObj</t>
  </si>
  <si>
    <t>#include "..\..\Graph\Extended\GStdArrowThumbUpObjExt.mqh"</t>
  </si>
  <si>
    <t>CGStdArrowUpObj</t>
  </si>
  <si>
    <t>#include "..\..\Graph\Extended\GStdArrowUpObjExt.mqh"</t>
  </si>
  <si>
    <t>CGStdBitmapLabelObj</t>
  </si>
  <si>
    <t>#include "..\..\Graph\Extended\GStdBitmapLabelObjExt.mqh"</t>
  </si>
  <si>
    <t>CGStdBitmapObj</t>
  </si>
  <si>
    <t>#include "..\..\Graph\Extended\GStdBitmapObjExt.mqh"</t>
  </si>
  <si>
    <t>CGStdButtonObj</t>
  </si>
  <si>
    <t>#include "..\..\Graph\Extended\GStdButtonObjExt.mqh"</t>
  </si>
  <si>
    <t>CGStdChannelObj</t>
  </si>
  <si>
    <t>#include "..\..\Graph\Extended\GStdChannelObjExt.mqh"</t>
  </si>
  <si>
    <t>CGStdChartObj</t>
  </si>
  <si>
    <t>#include "..\..\Graph\Extended\GStdChartObjExt.mqh"</t>
  </si>
  <si>
    <t>CGStdCyclesObj</t>
  </si>
  <si>
    <t>#include "..\..\Graph\Extended\GStdCiclesObjExt.mqh"</t>
  </si>
  <si>
    <t>CGStdEditObj</t>
  </si>
  <si>
    <t>#include "..\..\Graph\Extended\GStdEditObjExt.mqh"</t>
  </si>
  <si>
    <t>CGStdElliotWave3Obj</t>
  </si>
  <si>
    <t>#include "..\..\Graph\Extended\GStdElliotWave3ObjExt.mqh"</t>
  </si>
  <si>
    <t>CGStdElliotWave5Obj</t>
  </si>
  <si>
    <t>#include "..\..\Graph\Extended\GStdElliotWave5ObjExt.mqh"</t>
  </si>
  <si>
    <t>CGStdEllipseObj</t>
  </si>
  <si>
    <t>#include "..\..\Graph\Extended\GStdEllipseObjExt.mqh"</t>
  </si>
  <si>
    <t>CGStdEventObj</t>
  </si>
  <si>
    <t>#include "..\..\Graph\Extended\GStdEventObjExt.mqh"</t>
  </si>
  <si>
    <t>CGStdExpansionObj</t>
  </si>
  <si>
    <t>#include "..\..\Graph\Extended\GStdExpansionObjExt.mqh"</t>
  </si>
  <si>
    <t>CGStdFiboArcObj</t>
  </si>
  <si>
    <t>#include "..\..\Graph\Extended\GStdFiboArcObjExt.mqh"</t>
  </si>
  <si>
    <t>CGStdFiboChannelObj</t>
  </si>
  <si>
    <t>#include "..\..\Graph\Extended\GStdFiboChannelObjExt.mqh"</t>
  </si>
  <si>
    <t>CGStdFiboFanObj</t>
  </si>
  <si>
    <t>#include "..\..\Graph\Extended\GStdFiboFanObjExt.mqh"</t>
  </si>
  <si>
    <t>CGStdFiboObj</t>
  </si>
  <si>
    <t>#include "..\..\Graph\Extended\GStdFiboObjExt.mqh"</t>
  </si>
  <si>
    <t>CGStdFiboTimesObj</t>
  </si>
  <si>
    <t>#include "..\..\Graph\Extended\GStdFiboTimesObjExt.mqh"</t>
  </si>
  <si>
    <t>CGStdGannFanObj</t>
  </si>
  <si>
    <t>#include "..\..\Graph\Extended\GStdGannFanObjExt.mqh"</t>
  </si>
  <si>
    <t>CGStdGannGridObj</t>
  </si>
  <si>
    <t>#include "..\..\Graph\Extended\GStdGannGridObjExt.mqh"</t>
  </si>
  <si>
    <t>CGStdGannLineObj</t>
  </si>
  <si>
    <t>#include "..\..\Graph\Extended\GStdGannLineObjExt.mqh"</t>
  </si>
  <si>
    <t>CLinkedPivotPoint</t>
  </si>
  <si>
    <t>#include "..\..\Graph\Extended\GStdGraphObjExt.mqh"</t>
  </si>
  <si>
    <t>CCompObjData</t>
  </si>
  <si>
    <t>CGStdGraphObjExt</t>
  </si>
  <si>
    <t>CGStdHLineObj</t>
  </si>
  <si>
    <t>#include "..\..\Graph\Extended\GStdHLineObjExt.mqh"</t>
  </si>
  <si>
    <t>CGStdLabelObj</t>
  </si>
  <si>
    <t>#include "..\..\Graph\Extended\GStdLabelObjExt.mqh"</t>
  </si>
  <si>
    <t>CGStdPitchforkObj</t>
  </si>
  <si>
    <t>#include "..\..\Graph\Extended\GStdPitchforkObjExt.mqh"</t>
  </si>
  <si>
    <t>CGStdRectangleLabelObj</t>
  </si>
  <si>
    <t>#include "..\..\Graph\Extended\GStdRectangleLabelObjExt.mqh"</t>
  </si>
  <si>
    <t>CGStdRectangleObj</t>
  </si>
  <si>
    <t>#include "..\..\Graph\Extended\GStdRectangleObjExt.mqh"</t>
  </si>
  <si>
    <t>CGStdRegressionObj</t>
  </si>
  <si>
    <t>#include "..\..\Graph\Extended\GStdRegressionObjExt.mqh"</t>
  </si>
  <si>
    <t>CGStdStdDevChannelObj</t>
  </si>
  <si>
    <t>#include "..\..\Graph\Extended\GStdStdDevChannelObjExt.mqh"</t>
  </si>
  <si>
    <t>CGStdTextObj</t>
  </si>
  <si>
    <t>#include "..\..\Graph\Extended\GStdTextObjExt.mqh"</t>
  </si>
  <si>
    <t>CGStdTrendByAngleObj</t>
  </si>
  <si>
    <t>#include "..\..\Graph\Extended\GStdTrendByAngleObjExt.mqh"</t>
  </si>
  <si>
    <t>CGStdTrendObj</t>
  </si>
  <si>
    <t>#include "..\..\Graph\Extended\GStdTrendObjExt.mqh"</t>
  </si>
  <si>
    <t>CGStdTrendObjExt</t>
  </si>
  <si>
    <t>#include "..\..\Graph\Extended\GStdTrendObjExtExt.mqh"</t>
  </si>
  <si>
    <t>CGStdTriangleObj</t>
  </si>
  <si>
    <t>#include "..\..\Graph\Extended\GStdTriangleObjExt.mqh"</t>
  </si>
  <si>
    <t>CGStdVLineObjExt</t>
  </si>
  <si>
    <t>#include "..\..\Graph\Extended\GStdVLineObjExt.mqh"</t>
  </si>
  <si>
    <t>Graph\GBase</t>
  </si>
  <si>
    <t>CGBaseEvent</t>
  </si>
  <si>
    <t>#include "..\..\Graph\GBase\CGBaseEvent.mqh"</t>
  </si>
  <si>
    <t>#include "..\..\Graph\GBase\GBaseObj.mqh"</t>
  </si>
  <si>
    <t>Graph\Standard</t>
  </si>
  <si>
    <t>CPivotPointData</t>
  </si>
  <si>
    <t>#include "..\..\Graph\Standard\GStdGraphObj.mqh"</t>
  </si>
  <si>
    <t>CPivotPointXY</t>
  </si>
  <si>
    <t>Graph\Standard\GStd</t>
  </si>
  <si>
    <t>#include "..\..\Graph\Standard\GStd\GStdArrowBuyObj.mqh"</t>
  </si>
  <si>
    <t>#include "..\..\Graph\Standard\GStd\GStdArrowCheckObj.mqh"</t>
  </si>
  <si>
    <t>#include "..\..\Graph\Standard\GStd\GStdArrowDownObj.mqh"</t>
  </si>
  <si>
    <t>#include "..\..\Graph\Standard\GStd\GStdArrowedLineObj.mqh"</t>
  </si>
  <si>
    <t>#include "..\..\Graph\Standard\GStd\GStdArrowLeftPriceObj.mqh"</t>
  </si>
  <si>
    <t>#include "..\..\Graph\Standard\GStd\GStdArrowObj.mqh"</t>
  </si>
  <si>
    <t>#include "..\..\Graph\Standard\GStd\GStdArrowRightPriceObj.mqh"</t>
  </si>
  <si>
    <t>#include "..\..\Graph\Standard\GStd\GStdArrowSellObj.mqh"</t>
  </si>
  <si>
    <t>#include "..\..\Graph\Standard\GStd\GStdArrowStopObj.mqh"</t>
  </si>
  <si>
    <t>#include "..\..\Graph\Standard\GStd\GStdArrowThumbDownObj.mqh"</t>
  </si>
  <si>
    <t>#include "..\..\Graph\Standard\GStd\GStdArrowThumbUpObj.mqh"</t>
  </si>
  <si>
    <t>#include "..\..\Graph\Standard\GStd\GStdArrowUpObj.mqh"</t>
  </si>
  <si>
    <t>#include "..\..\Graph\Standard\GStd\GStdBitmapLabelObj.mqh"</t>
  </si>
  <si>
    <t>#include "..\..\Graph\Standard\GStd\GStdBitmapObj.mqh"</t>
  </si>
  <si>
    <t>#include "..\..\Graph\Standard\GStd\GStdButtonObj.mqh"</t>
  </si>
  <si>
    <t>#include "..\..\Graph\Standard\GStd\GStdChannelObj.mqh"</t>
  </si>
  <si>
    <t>#include "..\..\Graph\Standard\GStd\GStdChartObj.mqh"</t>
  </si>
  <si>
    <t>#include "..\..\Graph\Standard\GStd\GStdCiclesObj.mqh"</t>
  </si>
  <si>
    <t>#include "..\..\Graph\Standard\GStd\GStdEditObj.mqh"</t>
  </si>
  <si>
    <t>#include "..\..\Graph\Standard\GStd\GStdElliotWave3Obj.mqh"</t>
  </si>
  <si>
    <t>#include "..\..\Graph\Standard\GStd\GStdElliotWave5Obj.mqh"</t>
  </si>
  <si>
    <t>#include "..\..\Graph\Standard\GStd\GStdEllipseObj.mqh"</t>
  </si>
  <si>
    <t>#include "..\..\Graph\Standard\GStd\GStdEventObj.mqh"</t>
  </si>
  <si>
    <t>#include "..\..\Graph\Standard\GStd\GStdExpansionObj.mqh"</t>
  </si>
  <si>
    <t>#include "..\..\Graph\Standard\GStd\GStdFiboArcObj.mqh"</t>
  </si>
  <si>
    <t>#include "..\..\Graph\Standard\GStd\GStdFiboChannelObj.mqh"</t>
  </si>
  <si>
    <t>#include "..\..\Graph\Standard\GStd\GStdFiboFanObj.mqh"</t>
  </si>
  <si>
    <t>#include "..\..\Graph\Standard\GStd\GStdFiboObj.mqh"</t>
  </si>
  <si>
    <t>#include "..\..\Graph\Standard\GStd\GStdFiboTimesObj.mqh"</t>
  </si>
  <si>
    <t>#include "..\..\Graph\Standard\GStd\GStdGannFanObj.mqh"</t>
  </si>
  <si>
    <t>#include "..\..\Graph\Standard\GStd\GStdGannGridObj.mqh"</t>
  </si>
  <si>
    <t>#include "..\..\Graph\Standard\GStd\GStdGannLineObj.mqh"</t>
  </si>
  <si>
    <t>#include "..\..\Graph\Standard\GStd\GStdHLineObj.mqh"</t>
  </si>
  <si>
    <t>#include "..\..\Graph\Standard\GStd\GStdLabelObj.mqh"</t>
  </si>
  <si>
    <t>#include "..\..\Graph\Standard\GStd\GStdPitchforkObj.mqh"</t>
  </si>
  <si>
    <t>#include "..\..\Graph\Standard\GStd\GStdRectangleLabelObj.mqh"</t>
  </si>
  <si>
    <t>#include "..\..\Graph\Standard\GStd\GStdRectangleObj.mqh"</t>
  </si>
  <si>
    <t>#include "..\..\Graph\Standard\GStd\GStdRegressionObj.mqh"</t>
  </si>
  <si>
    <t>#include "..\..\Graph\Standard\GStd\GStdStdDevChannelObj.mqh"</t>
  </si>
  <si>
    <t>#include "..\..\Graph\Standard\GStd\GStdTextObj.mqh"</t>
  </si>
  <si>
    <t>#include "..\..\Graph\Standard\GStd\GStdTrendByAngleObj.mqh"</t>
  </si>
  <si>
    <t>#include "..\..\Graph\Standard\GStd\GStdTrendObj.mqh"</t>
  </si>
  <si>
    <t>#include "..\..\Graph\Standard\GStd\GStdTriangleObj.mqh"</t>
  </si>
  <si>
    <t>CGStdVLineObj</t>
  </si>
  <si>
    <t>#include "..\..\Graph\Standard\GStd\GStdVLineObj.mqh"</t>
  </si>
  <si>
    <t>Graph\Timeseries</t>
  </si>
  <si>
    <t>CPatternRenderer</t>
  </si>
  <si>
    <t>#include "..\..\Graph\Timeseries\PatternRenderer.mqh"</t>
  </si>
  <si>
    <t>Graph\Trading</t>
  </si>
  <si>
    <t>TradingLevelBubble.mqh</t>
  </si>
  <si>
    <t>CTradingLevelBubble</t>
  </si>
  <si>
    <t>#include "..\..\Graph\Trading\TradingLevelBubble.mqh"</t>
  </si>
  <si>
    <t>#include &lt;Vendors\Anhnt\Library\4. Combination Lib\Graph\Trading\TradingLevelBubble.mqh&gt;</t>
  </si>
  <si>
    <t>Graph\WForms</t>
  </si>
  <si>
    <t>CGlareObj</t>
  </si>
  <si>
    <t>CWinFormBase</t>
  </si>
  <si>
    <t>#include "..\..\Graph\WForms\GlareObj.mqh"</t>
  </si>
  <si>
    <t>#include "..\..\Graph\WForms\WinFormBase.mqh"</t>
  </si>
  <si>
    <t>Graph\WForms\Common Controls</t>
  </si>
  <si>
    <t>CButton</t>
  </si>
  <si>
    <t>CLabel</t>
  </si>
  <si>
    <t>#include "..\..\Graph\WForms\Common Controls\Button.mqh"</t>
  </si>
  <si>
    <t>CButtonListBox</t>
  </si>
  <si>
    <t>CElementsListBox</t>
  </si>
  <si>
    <t>#include "..\..\Graph\WForms\Common Controls\ButtonListBox.mqh"</t>
  </si>
  <si>
    <t>CCheckBox</t>
  </si>
  <si>
    <t>#include "..\..\Graph\WForms\Common Controls\CheckBox.mqh"</t>
  </si>
  <si>
    <t>CCheckedListBox</t>
  </si>
  <si>
    <t>#include "..\..\Graph\WForms\Common Controls\CheckedListBox.mqh"</t>
  </si>
  <si>
    <t>CCommonBase</t>
  </si>
  <si>
    <t>#include "..\..\Graph\WForms\Common Controls\CommonBase.mqh"</t>
  </si>
  <si>
    <t>CContainer</t>
  </si>
  <si>
    <t>#include "..\..\Graph\WForms\Common Controls\ElementsListBox.mqh"</t>
  </si>
  <si>
    <t>#include "..\..\Graph\WForms\Common Controls\Label.mqh"</t>
  </si>
  <si>
    <t>CListBox</t>
  </si>
  <si>
    <t>#include "..\..\Graph\WForms\Common Controls\ListBox.mqh"</t>
  </si>
  <si>
    <t>CProgressBar</t>
  </si>
  <si>
    <t>#include "..\..\Graph\WForms\Common Controls\ProgressBar.mqh"</t>
  </si>
  <si>
    <t>CRadioButton</t>
  </si>
  <si>
    <t>#include "..\..\Graph\WForms\Common Controls\RadioButton.mqh"</t>
  </si>
  <si>
    <t>CToolTip</t>
  </si>
  <si>
    <t>CHintBase</t>
  </si>
  <si>
    <t>#include "..\..\Graph\WForms\Common Controls\ToolTip.mqh"</t>
  </si>
  <si>
    <t>Graph\WForms\Containers</t>
  </si>
  <si>
    <t>#include "..\..\Graph\WForms\Containers\Container.mqh"</t>
  </si>
  <si>
    <t>CGroupBox</t>
  </si>
  <si>
    <t>#include "..\..\Graph\WForms\Containers\GroupBox.mqh"</t>
  </si>
  <si>
    <t>CPanel</t>
  </si>
  <si>
    <t>#include "..\..\Graph\WForms\Containers\Panel.mqh"</t>
  </si>
  <si>
    <t>CSplitContainer</t>
  </si>
  <si>
    <t>#include "..\..\Graph\WForms\Containers\SplitContainer.mqh"</t>
  </si>
  <si>
    <t>CTabControl</t>
  </si>
  <si>
    <t>#include "..\..\Graph\WForms\Containers\TabControl.mqh"</t>
  </si>
  <si>
    <t>Graph\WForms\Helpers</t>
  </si>
  <si>
    <t>CArrowButton</t>
  </si>
  <si>
    <t>#include "..\..\Graph\WForms\Helpers\ArrowButton.mqh"</t>
  </si>
  <si>
    <t>CArrowDownButton</t>
  </si>
  <si>
    <t>#include "..\..\Graph\WForms\Helpers\ArrowDownButton.mqh"</t>
  </si>
  <si>
    <t>CArrowLeftButton</t>
  </si>
  <si>
    <t>#include "..\..\Graph\WForms\Helpers\ArrowLeftButton.mqh"</t>
  </si>
  <si>
    <t>CArrowLeftRightBox</t>
  </si>
  <si>
    <t>#include "..\..\Graph\WForms\Helpers\ArrowLeftRightBox.mqh"</t>
  </si>
  <si>
    <t>CArrowRightButton</t>
  </si>
  <si>
    <t>#include "..\..\Graph\WForms\Helpers\ArrowRightButton.mqh"</t>
  </si>
  <si>
    <t>CArrowUpButton</t>
  </si>
  <si>
    <t>#include "..\..\Graph\WForms\Helpers\ArrowUpButton.mqh"</t>
  </si>
  <si>
    <t>CArrowUpDownBox</t>
  </si>
  <si>
    <t>#include "..\..\Graph\WForms\Helpers\ArrowUpDownBox.mqh"</t>
  </si>
  <si>
    <t>CBarProgressBar</t>
  </si>
  <si>
    <t>#include "..\..\Graph\WForms\Helpers\BarProgressBar.mqh"</t>
  </si>
  <si>
    <t>#include "..\..\Graph\WForms\Helpers\HintBase.mqh"</t>
  </si>
  <si>
    <t>CHintMoveDown</t>
  </si>
  <si>
    <t>#include "..\..\Graph\WForms\Helpers\HintMoveDown.mqh"</t>
  </si>
  <si>
    <t>CHintMoveLeft</t>
  </si>
  <si>
    <t>#include "..\..\Graph\WForms\Helpers\HintMoveLeft.mqh"</t>
  </si>
  <si>
    <t>CHintMoveRight</t>
  </si>
  <si>
    <t>#include "..\..\Graph\WForms\Helpers\HintMoveRight.mqh"</t>
  </si>
  <si>
    <t>CHintMoveUp</t>
  </si>
  <si>
    <t>#include "..\..\Graph\WForms\Helpers\HintMoveUp.mqh"</t>
  </si>
  <si>
    <t>CListBoxItem</t>
  </si>
  <si>
    <t>#include "..\..\Graph\WForms\Helpers\ListBoxItem.mqh"</t>
  </si>
  <si>
    <t>CScrollBar</t>
  </si>
  <si>
    <t>#include "..\..\Graph\WForms\Helpers\ScrollBar.mqh"</t>
  </si>
  <si>
    <t>CScrollBarHorisontal</t>
  </si>
  <si>
    <t>#include "..\..\Graph\WForms\Helpers\ScrollBarHorisontal.mqh"</t>
  </si>
  <si>
    <t>CScrollBarThumb</t>
  </si>
  <si>
    <t>#include "..\..\Graph\WForms\Helpers\ScrollBarThumb.mqh"</t>
  </si>
  <si>
    <t>CScrollBarVertical</t>
  </si>
  <si>
    <t>#include "..\..\Graph\WForms\Helpers\ScrollBarVertical.mqh"</t>
  </si>
  <si>
    <t>CSplitContainerPanel</t>
  </si>
  <si>
    <t>#include "..\..\Graph\WForms\Helpers\SplitContainerPanel.mqh"</t>
  </si>
  <si>
    <t>CSplitter</t>
  </si>
  <si>
    <t>#include "..\..\Graph\WForms\Helpers\Splitter.mqh"</t>
  </si>
  <si>
    <t>CTabField</t>
  </si>
  <si>
    <t>#include "..\..\Graph\WForms\Helpers\TabField.mqh"</t>
  </si>
  <si>
    <t>CTabHeader</t>
  </si>
  <si>
    <t>#include "..\..\Graph\WForms\Helpers\TabHeader.mqh"</t>
  </si>
  <si>
    <t>GUI Lib</t>
  </si>
  <si>
    <t>CCommon</t>
  </si>
  <si>
    <t>#include "..\..\GUI Lib\Common.mqh"</t>
  </si>
  <si>
    <t>CElement</t>
  </si>
  <si>
    <t>CElementBase</t>
  </si>
  <si>
    <t>#include "..\..\GUI Lib\Element.mqh"</t>
  </si>
  <si>
    <t>#include "..\..\GUI Lib\ElementBase.mqh"</t>
  </si>
  <si>
    <t>CFonts</t>
  </si>
  <si>
    <t>#include "..\..\GUI Lib\Fonts.mqh"</t>
  </si>
  <si>
    <t>CImage</t>
  </si>
  <si>
    <t>#include "..\..\GUI Lib\Image.mqh"</t>
  </si>
  <si>
    <t>CKeys</t>
  </si>
  <si>
    <t>#include "..\..\GUI Lib\Keys.mqh"</t>
  </si>
  <si>
    <t>CRectCanvas</t>
  </si>
  <si>
    <t>CCanvas</t>
  </si>
  <si>
    <t>#include "..\..\GUI Lib\RectCanvas.mqh"</t>
  </si>
  <si>
    <t>CSubChart</t>
  </si>
  <si>
    <t>CChartObjectSubChart</t>
  </si>
  <si>
    <t>#include "..\..\GUI Lib\SubChart.mqh"</t>
  </si>
  <si>
    <t>CTimeCounter</t>
  </si>
  <si>
    <t>#include "..\..\GUI Lib\TimeCounter.mqh"</t>
  </si>
  <si>
    <t>CWndContainer</t>
  </si>
  <si>
    <t>#include "..\..\GUI Lib\WndContainer.mqh"</t>
  </si>
  <si>
    <t>CWndCreate</t>
  </si>
  <si>
    <t>CWndEvents</t>
  </si>
  <si>
    <t>#include "..\..\GUI Lib\WndCreate.mqh"</t>
  </si>
  <si>
    <t>#include "..\..\GUI Lib\WndEvents.mqh"</t>
  </si>
  <si>
    <t>GUI Lib\Controls</t>
  </si>
  <si>
    <t>#include "..\..\GUI Lib\Controls\Button.mqh"</t>
  </si>
  <si>
    <t>CButtonsGroup</t>
  </si>
  <si>
    <t>#include "..\..\GUI Lib\Controls\ButtonsGroup.mqh"</t>
  </si>
  <si>
    <t>CCalendar</t>
  </si>
  <si>
    <t>#include "..\..\GUI Lib\Controls\Calendar.mqh"</t>
  </si>
  <si>
    <t>#include "..\..\GUI Lib\Controls\CheckBox.mqh"</t>
  </si>
  <si>
    <t>CColorButton</t>
  </si>
  <si>
    <t>#include "..\..\GUI Lib\Controls\ColorButton.mqh"</t>
  </si>
  <si>
    <t>CColorPicker</t>
  </si>
  <si>
    <t>#include "..\..\GUI Lib\Controls\ColorPicker.mqh"</t>
  </si>
  <si>
    <t>CComboBox</t>
  </si>
  <si>
    <t>#include "..\..\GUI Lib\Controls\ComboBox.mqh"</t>
  </si>
  <si>
    <t>CContextMenu</t>
  </si>
  <si>
    <t>#include "..\..\GUI Lib\Controls\ContextMenu.mqh"</t>
  </si>
  <si>
    <t>CDropCalendar</t>
  </si>
  <si>
    <t>#include "..\..\GUI Lib\Controls\DropCalendar.mqh"</t>
  </si>
  <si>
    <t>CFileNavigator</t>
  </si>
  <si>
    <t>#include "..\..\GUI Lib\Controls\FileNavigator.mqh"</t>
  </si>
  <si>
    <t>#include "..\..\GUI Lib\Controls\Frame.mqh"</t>
  </si>
  <si>
    <t>CGraph</t>
  </si>
  <si>
    <t>#include "..\..\GUI Lib\Controls\Graph.mqh"</t>
  </si>
  <si>
    <t>CListView</t>
  </si>
  <si>
    <t>#include "..\..\GUI Lib\Controls\ListView.mqh"</t>
  </si>
  <si>
    <t>CMenuBar</t>
  </si>
  <si>
    <t>#include "..\..\GUI Lib\Controls\MenuBar.mqh"</t>
  </si>
  <si>
    <t>CMenuItem</t>
  </si>
  <si>
    <t>#include "..\..\GUI Lib\Controls\MenuItem.mqh"</t>
  </si>
  <si>
    <t>CPicture</t>
  </si>
  <si>
    <t>#include "..\..\GUI Lib\Controls\Picture.mqh"</t>
  </si>
  <si>
    <t>CPicturesSlider</t>
  </si>
  <si>
    <t>#include "..\..\GUI Lib\Controls\PicturesSlider.mqh"</t>
  </si>
  <si>
    <t>CPointer</t>
  </si>
  <si>
    <t>#include "..\..\GUI Lib\Controls\Pointer.mqh"</t>
  </si>
  <si>
    <t>#include "..\..\GUI Lib\Controls\ProgressBar.mqh"</t>
  </si>
  <si>
    <t>CScroll</t>
  </si>
  <si>
    <t>#include "..\..\GUI Lib\Controls\Scrolls.mqh"</t>
  </si>
  <si>
    <t>CScrollV</t>
  </si>
  <si>
    <t>CScrollH</t>
  </si>
  <si>
    <t>CSeparateLine</t>
  </si>
  <si>
    <t>#include "..\..\GUI Lib\Controls\SeparateLine.mqh"</t>
  </si>
  <si>
    <t>CSlider</t>
  </si>
  <si>
    <t>#include "..\..\GUI Lib\Controls\Slider.mqh"</t>
  </si>
  <si>
    <t>CSplitButton</t>
  </si>
  <si>
    <t>#include "..\..\GUI Lib\Controls\SplitButton.mqh"</t>
  </si>
  <si>
    <t>CStandardChart</t>
  </si>
  <si>
    <t>#include "..\..\GUI Lib\Controls\StandardChart.mqh"</t>
  </si>
  <si>
    <t>CStatusBar</t>
  </si>
  <si>
    <t>#include "..\..\GUI Lib\Controls\StatusBar.mqh"</t>
  </si>
  <si>
    <t>CTable</t>
  </si>
  <si>
    <t>#include "..\..\GUI Lib\Controls\Table.mqh"</t>
  </si>
  <si>
    <t>CTabs</t>
  </si>
  <si>
    <t>#include "..\..\GUI Lib\Controls\Tabs.mqh"</t>
  </si>
  <si>
    <t>CTextBox</t>
  </si>
  <si>
    <t>#include "..\..\GUI Lib\Controls\TextBox.mqh"</t>
  </si>
  <si>
    <t>CTextEdit</t>
  </si>
  <si>
    <t>#include "..\..\GUI Lib\Controls\TextEdit.mqh"</t>
  </si>
  <si>
    <t>CTextLabel</t>
  </si>
  <si>
    <t>#include "..\..\GUI Lib\Controls\TextLabel.mqh"</t>
  </si>
  <si>
    <t>CTimeEdit</t>
  </si>
  <si>
    <t>#include "..\..\GUI Lib\Controls\TimeEdit.mqh"</t>
  </si>
  <si>
    <t>CTooltip</t>
  </si>
  <si>
    <t>#include "..\..\GUI Lib\Controls\Tooltip.mqh"</t>
  </si>
  <si>
    <t>CTreeItem</t>
  </si>
  <si>
    <t>#include "..\..\GUI Lib\Controls\TreeItem.mqh"</t>
  </si>
  <si>
    <t>CTreeView</t>
  </si>
  <si>
    <t>#include "..\..\GUI Lib\Controls\TreeView.mqh"</t>
  </si>
  <si>
    <t>CWindow</t>
  </si>
  <si>
    <t>#include "..\..\GUI Lib\Controls\Window.mqh"</t>
  </si>
  <si>
    <t>Notify\Message</t>
  </si>
  <si>
    <t>CMessage</t>
  </si>
  <si>
    <t>#include "..\..\Notify\Message\Message.mqh"</t>
  </si>
  <si>
    <t>object</t>
  </si>
  <si>
    <t>#include "..\..\Notify\Message\MessageData.mqh"</t>
  </si>
  <si>
    <t>#include "..\..\Notify\Message\MessageDefines.mqh"</t>
  </si>
  <si>
    <t>Notify\Sound</t>
  </si>
  <si>
    <t>#include "..\..\Notify\Sound\SoundData.mqh"</t>
  </si>
  <si>
    <t>Services</t>
  </si>
  <si>
    <t>CColors</t>
  </si>
  <si>
    <t>#include "..\..\Services\Colors.mqh"</t>
  </si>
  <si>
    <t>MouseCombine.mqh</t>
  </si>
  <si>
    <t>CMouseCombine</t>
  </si>
  <si>
    <t>#include "..\..\Services\MouseCombine.mqh"</t>
  </si>
  <si>
    <t>#include &lt;Vendors\Anhnt\Library\4. Combination Lib\Services\MouseCombine.mqh&gt;</t>
  </si>
  <si>
    <t>CPause</t>
  </si>
  <si>
    <t>#include "..\..\Services\Pause.mqh"</t>
  </si>
  <si>
    <t>CTimerCounter</t>
  </si>
  <si>
    <t>#include "..\..\Services\TimerCounter.mqh"</t>
  </si>
  <si>
    <t>CTrading</t>
  </si>
  <si>
    <t>#include "..\..\Services\Trading.mqh"</t>
  </si>
  <si>
    <t>Services\DELib</t>
  </si>
  <si>
    <t>#include "..\..\Services\DELib\ChartDELib.mqh"</t>
  </si>
  <si>
    <t>#include "..\..\Services\DELib\CommonDELib.mqh"</t>
  </si>
  <si>
    <t>#include "..\..\Services\DELib\GraphicDELib.mqh"</t>
  </si>
  <si>
    <t>#include "..\..\Services\DELib\TimeseriesDELib.mqh"</t>
  </si>
  <si>
    <t>#include "..\..\Services\DELib\TradingDELib.mqh"</t>
  </si>
  <si>
    <t>Services\InputData</t>
  </si>
  <si>
    <t>#include "..\..\Services\InputData\CommonInpData.mqh"</t>
  </si>
  <si>
    <t>#include "..\..\Services\InputData\TradingInpData.mqh"</t>
  </si>
  <si>
    <t>Services\Properties</t>
  </si>
  <si>
    <t>CChangedProps</t>
  </si>
  <si>
    <t>CDataPropObj</t>
  </si>
  <si>
    <t>#include "..\..\Services\Properties\ChangedProps.mqh"</t>
  </si>
  <si>
    <t>CChangeHistory</t>
  </si>
  <si>
    <t>#include "..\..\Services\Properties\ChangeHistory.mqh"</t>
  </si>
  <si>
    <t>#include "..\..\Services\Properties\DataPropObj.mqh"</t>
  </si>
  <si>
    <t>CProperties</t>
  </si>
  <si>
    <t>#include "..\..\Services\Properties\Properties.mqh"</t>
  </si>
  <si>
    <t>#include &lt;Vendors\Anhnt\Library\4. Combination Lib\Services\Properties\Properties.mqh&gt;</t>
  </si>
  <si>
    <t>CDataUnit</t>
  </si>
  <si>
    <t>#include "..\..\Services\Properties\XDimArray.mqh"</t>
  </si>
  <si>
    <t>CDataUnitLong</t>
  </si>
  <si>
    <t>CDimLong</t>
  </si>
  <si>
    <t>CXDimArrayLong</t>
  </si>
  <si>
    <t>CDataUnitDouble</t>
  </si>
  <si>
    <t>CDimDouble</t>
  </si>
  <si>
    <t>CXDimArrayDouble</t>
  </si>
  <si>
    <t>CDataUnitString</t>
  </si>
  <si>
    <t>CDimString</t>
  </si>
  <si>
    <t>CXDimArrayString</t>
  </si>
  <si>
    <t>Services\Select</t>
  </si>
  <si>
    <t>CChartSelect</t>
  </si>
  <si>
    <t>CCommonSelect</t>
  </si>
  <si>
    <t>#include "..\..\Services\Select\ChartSelect.mqh"</t>
  </si>
  <si>
    <t>#include "..\..\Services\Select\CommonSelect.mqh"</t>
  </si>
  <si>
    <t>GraphSelect.mqh</t>
  </si>
  <si>
    <t>CSelect</t>
  </si>
  <si>
    <t>#include "..\..\Services\Select\GraphSelect.mqh"</t>
  </si>
  <si>
    <t>#include &lt;Vendors\Anhnt\Library\4. Combination Lib\Services\Select\GraphSelect.mqh&gt;</t>
  </si>
  <si>
    <t>CTimeseriesSelect</t>
  </si>
  <si>
    <t>#include "..\..\Services\Select\TimeseriesSelect.mqh"</t>
  </si>
  <si>
    <t>CTradingSelect</t>
  </si>
  <si>
    <t>#include "..\..\Services\Select\TradingSelect.mqh"</t>
  </si>
  <si>
    <t>Temp</t>
  </si>
  <si>
    <t>#include "..\..\Temp\Colors.mqh"</t>
  </si>
  <si>
    <t>#include &lt;Vendors\Anhnt\Library\4. Combination Lib\Temp\Colors.mqh&gt;</t>
  </si>
  <si>
    <t>Mouse Backup.mqh</t>
  </si>
  <si>
    <t>CMouse</t>
  </si>
  <si>
    <t>#include "..\..\Temp\Mouse Backup.mqh"</t>
  </si>
  <si>
    <t>#include &lt;Vendors\Anhnt\Library\4. Combination Lib\Temp\Mouse Backup.mqh&gt;</t>
  </si>
  <si>
    <t>MouseStateBackup.mqh</t>
  </si>
  <si>
    <t>CMouseState</t>
  </si>
  <si>
    <t>#include "..\..\Temp\MouseStateBackup.mqh"</t>
  </si>
  <si>
    <t>#include &lt;Vendors\Anhnt\Library\4. Combination Lib\Temp\MouseStateBackup.mqh&gt;</t>
  </si>
  <si>
    <t>#include "..\..\Temp\Objects.mqh"</t>
  </si>
  <si>
    <t>#include &lt;Vendors\Anhnt\Library\4. Combination Lib\Temp\Objects.mqh&gt;</t>
  </si>
  <si>
    <t>CResources</t>
  </si>
  <si>
    <t>#include "..\..\Temp\Resources Backup.mqh"</t>
  </si>
  <si>
    <t>#include &lt;Vendors\Anhnt\Library\4. Combination Lib\Temp\Resources Backup.mqh&gt;</t>
  </si>
  <si>
    <t>Temp\Artyom Trishkin Define</t>
  </si>
  <si>
    <t>#include "..\..\Temp\Artyom Trishkin Define\Defines.mqh"</t>
  </si>
  <si>
    <t>#include &lt;Vendors\Anhnt\Library\4. Combination Lib\Temp\Artyom Trishkin Define\Defines.mqh&gt;</t>
  </si>
  <si>
    <t>Temp\GUI Defines</t>
  </si>
  <si>
    <t>#include "..\..\Temp\GUI Defines\ControlsDefines.mqh"</t>
  </si>
  <si>
    <t>#include &lt;Vendors\Anhnt\Library\4. Combination Lib\Temp\GUI Defines\ControlsDefines.mqh&gt;</t>
  </si>
  <si>
    <t>#include "..\..\Temp\GUI Defines\Defines.mqh"</t>
  </si>
  <si>
    <t>#include &lt;Vendors\Anhnt\Library\4. Combination Lib\Temp\GUI Defines\Defines.mqh&gt;</t>
  </si>
  <si>
    <t>#include "..\..\Temp\GUI Defines\Enums.mqh"</t>
  </si>
  <si>
    <t>#include &lt;Vendors\Anhnt\Library\4. Combination Lib\Temp\GUI Defines\Enums.mqh&gt;</t>
  </si>
  <si>
    <t>Temp\Image Temp</t>
  </si>
  <si>
    <t>#include "..\..\Temp\Image Temp\Image.mqh"</t>
  </si>
  <si>
    <t>#include &lt;Vendors\Anhnt\Library\4. Combination Lib\Temp\Image Temp\Image.mqh&gt;</t>
  </si>
  <si>
    <t>CImageResources</t>
  </si>
  <si>
    <t>#include "..\..\Temp\Image Temp\ImageResources.mqh"</t>
  </si>
  <si>
    <t>#include &lt;Vendors\Anhnt\Library\4. Combination Lib\Temp\Image Temp\ImageResources.mqh&gt;</t>
  </si>
  <si>
    <t>Timeseries\Bars</t>
  </si>
  <si>
    <t>CBar</t>
  </si>
  <si>
    <t>#include "..\Bars\Bar.mqh"</t>
  </si>
  <si>
    <t>CNewBarObj</t>
  </si>
  <si>
    <t>#include "..\Bars\NewBarObj.mqh"</t>
  </si>
  <si>
    <t>Timeseries\Bars\BarSeries</t>
  </si>
  <si>
    <t>CBarPatternControl</t>
  </si>
  <si>
    <t>#include "..\Bars\BarSeries\BarPatternControl.mqh"</t>
  </si>
  <si>
    <t>CBarPatternsControl</t>
  </si>
  <si>
    <t>#include "..\Bars\BarSeries\BarPatternsControl.mqh"</t>
  </si>
  <si>
    <t>CBarSeriesDE</t>
  </si>
  <si>
    <t>#include "..\Bars\BarSeries\BarSeriesDE.mqh"</t>
  </si>
  <si>
    <t>CBarTimeSeriesDE</t>
  </si>
  <si>
    <t>#include "..\Bars\BarSeries\BarTimeSeriesDE.mqh"</t>
  </si>
  <si>
    <t>Timeseries\Bars\BarSeries\DCandles</t>
  </si>
  <si>
    <t>CBarPatternControlDarkCloudCover</t>
  </si>
  <si>
    <t>CBarPatternControlPiercingLine</t>
  </si>
  <si>
    <t>#include "..\Bars\BarSeries\DCandles\BarPatternControlDarkCloudCover.mqh"</t>
  </si>
  <si>
    <t>CBarPatternControlEngulfing</t>
  </si>
  <si>
    <t>#include "..\Bars\BarSeries\DCandles\BarPatternControlEngulfing.mqh"</t>
  </si>
  <si>
    <t>CBarPatternControlHarami</t>
  </si>
  <si>
    <t>#include "..\Bars\BarSeries\DCandles\BarPatternControlHarami.mqh"</t>
  </si>
  <si>
    <t>CBarPatternControlHaramiCross</t>
  </si>
  <si>
    <t>#include "..\Bars\BarSeries\DCandles\BarPatternControlHaramiCross.mqh"</t>
  </si>
  <si>
    <t>CBarPatternControlInsideBar</t>
  </si>
  <si>
    <t>#include "..\Bars\BarSeries\DCandles\BarPatternControlInsideBar.mqh"</t>
  </si>
  <si>
    <t>CBarPatternControlOutsideBar</t>
  </si>
  <si>
    <t>#include "..\Bars\BarSeries\DCandles\BarPatternControlOutsideBar.mqh"</t>
  </si>
  <si>
    <t>#include "..\Bars\BarSeries\DCandles\BarPatternControlPiercingLine.mqh"</t>
  </si>
  <si>
    <t>CBarPatternControlRails</t>
  </si>
  <si>
    <t>#include "..\Bars\BarSeries\DCandles\BarPatternControlRails.mqh"</t>
  </si>
  <si>
    <t>CBarPatternControlTweezer</t>
  </si>
  <si>
    <t>#include "..\Bars\BarSeries\DCandles\BarPatternControlTweezer.mqh"</t>
  </si>
  <si>
    <t>Timeseries\Bars\BarSeries\SCandles</t>
  </si>
  <si>
    <t>CBarPatternControlDoji</t>
  </si>
  <si>
    <t>#include "..\Bars\BarSeries\SCandles\BarPatternControlDoji.mqh"</t>
  </si>
  <si>
    <t>CBarPatternControlDragonflyDoji</t>
  </si>
  <si>
    <t>#include "..\Bars\BarSeries\SCandles\BarPatternControlDragonflyDoji.mqh"</t>
  </si>
  <si>
    <t>CBarPatternControlGravestoneDoji</t>
  </si>
  <si>
    <t>#include "..\Bars\BarSeries\SCandles\BarPatternControlGravestoneDoji.mqh"</t>
  </si>
  <si>
    <t>CBarPatternControlHammer</t>
  </si>
  <si>
    <t>#include "..\Bars\BarSeries\SCandles\BarPatternControlHammer.mqh"</t>
  </si>
  <si>
    <t>CBarPatternControlHangingMan</t>
  </si>
  <si>
    <t>#include "..\Bars\BarSeries\SCandles\BarPatternControlHangingMan.mqh"</t>
  </si>
  <si>
    <t>CBarPatternControlInvertedHammer</t>
  </si>
  <si>
    <t>#include "..\Bars\BarSeries\SCandles\BarPatternControlInvertedHammer.mqh"</t>
  </si>
  <si>
    <t>CBarPatternControlPinBar</t>
  </si>
  <si>
    <t>#include "..\Bars\BarSeries\SCandles\BarPatternControlPinBar.mqh"</t>
  </si>
  <si>
    <t>CBarPatternControlShootingStar</t>
  </si>
  <si>
    <t>#include "..\Bars\BarSeries\SCandles\BarPatternControlShootingStar.mqh"</t>
  </si>
  <si>
    <t>Timeseries\Bars\BarSeries\TrCandles</t>
  </si>
  <si>
    <t>CBarPatternControlAbandonedBaby</t>
  </si>
  <si>
    <t>#include "..\Bars\BarSeries\TrCandles\BarPatternControlAbandonedBaby.mqh"</t>
  </si>
  <si>
    <t>CBarPatternControlEveningDojiStar</t>
  </si>
  <si>
    <t>CBarPatternControlEveningStar</t>
  </si>
  <si>
    <t>#include "..\Bars\BarSeries\TrCandles\BarPatternControlEveningDojiStar.mqh"</t>
  </si>
  <si>
    <t>#include "..\Bars\BarSeries\TrCandles\BarPatternControlEveningStar.mqh"</t>
  </si>
  <si>
    <t>CBarPatternControlMorningDojiStar</t>
  </si>
  <si>
    <t>CBarPatternControlMorningStar</t>
  </si>
  <si>
    <t>#include "..\Bars\BarSeries\TrCandles\BarPatternControlMorningDojiStar.mqh"</t>
  </si>
  <si>
    <t>#include "..\Bars\BarSeries\TrCandles\BarPatternControlMorningStar.mqh"</t>
  </si>
  <si>
    <t>CBarPatternControlPivotPointReversal</t>
  </si>
  <si>
    <t>#include "..\Bars\BarSeries\TrCandles\BarPatternControlPivotPointReversal.mqh"</t>
  </si>
  <si>
    <t>CBarPatternControlThreeBlackCrows</t>
  </si>
  <si>
    <t>#include "..\Bars\BarSeries\TrCandles\BarPatternControlThreeBlackCrows.mqh"</t>
  </si>
  <si>
    <t>CBarPatternControlThreeInsideDown</t>
  </si>
  <si>
    <t>#include "..\Bars\BarSeries\TrCandles\BarPatternControlThreeInsideDown.mqh"</t>
  </si>
  <si>
    <t>CBarPatternControlThreeInsideUp</t>
  </si>
  <si>
    <t>#include "..\Bars\BarSeries\TrCandles\BarPatternControlThreeInsideUp.mqh"</t>
  </si>
  <si>
    <t>CBarPatternControlThreeStars</t>
  </si>
  <si>
    <t>#include "..\Bars\BarSeries\TrCandles\BarPatternControlThreeStars.mqh"</t>
  </si>
  <si>
    <t>CBarPatternControlThreeWhiteSoldiers</t>
  </si>
  <si>
    <t>#include "..\Bars\BarSeries\TrCandles\BarPatternControlThreeWhiteSoldiers.mqh"</t>
  </si>
  <si>
    <t>Timeseries\Bars\BarSeriesPatterns</t>
  </si>
  <si>
    <t>CBarPattern</t>
  </si>
  <si>
    <t>#include "..\Bars\BarSeriesPatterns\BarPattern.mqh"</t>
  </si>
  <si>
    <t>Timeseries\Bars\BarSeriesPatterns\DCandlesPatterns</t>
  </si>
  <si>
    <t>CPatternDarkCloudCover</t>
  </si>
  <si>
    <t>#include "..\Bars\BarSeriesPatterns\DCandlesPatterns\PatternDarkCloudCover.mqh"</t>
  </si>
  <si>
    <t>CPatternEngulfing</t>
  </si>
  <si>
    <t>#include "..\Bars\BarSeriesPatterns\DCandlesPatterns\PatternEngulfing.mqh"</t>
  </si>
  <si>
    <t>CPatternHarami</t>
  </si>
  <si>
    <t>#include "..\Bars\BarSeriesPatterns\DCandlesPatterns\PatternHarami.mqh"</t>
  </si>
  <si>
    <t>CPatternHaramiCross</t>
  </si>
  <si>
    <t>#include "..\Bars\BarSeriesPatterns\DCandlesPatterns\PatternHaramiCross.mqh"</t>
  </si>
  <si>
    <t>CPatternInsideBar</t>
  </si>
  <si>
    <t>#include "..\Bars\BarSeriesPatterns\DCandlesPatterns\PatternInsideBar.mqh"</t>
  </si>
  <si>
    <t>CPatternOutsideBar</t>
  </si>
  <si>
    <t>#include "..\Bars\BarSeriesPatterns\DCandlesPatterns\PatternOutsideBar.mqh"</t>
  </si>
  <si>
    <t>CPatternPiercingLine</t>
  </si>
  <si>
    <t>#include "..\Bars\BarSeriesPatterns\DCandlesPatterns\PatternPiercingLine.mqh"</t>
  </si>
  <si>
    <t>CPatternRails</t>
  </si>
  <si>
    <t>#include "..\Bars\BarSeriesPatterns\DCandlesPatterns\PatternRails.mqh"</t>
  </si>
  <si>
    <t>CPatternTweezer</t>
  </si>
  <si>
    <t>#include "..\Bars\BarSeriesPatterns\DCandlesPatterns\PatternTweezer.mqh"</t>
  </si>
  <si>
    <t>Timeseries\Bars\BarSeriesPatterns\SCandlesPatterns</t>
  </si>
  <si>
    <t>CPatternDoji</t>
  </si>
  <si>
    <t>#include "..\Bars\BarSeriesPatterns\SCandlesPatterns\PatternDoji.mqh"</t>
  </si>
  <si>
    <t>CPatternDragonflyDoji</t>
  </si>
  <si>
    <t>#include "..\Bars\BarSeriesPatterns\SCandlesPatterns\PatternDragonflyDoji.mqh"</t>
  </si>
  <si>
    <t>CPatternGravestoneDoji</t>
  </si>
  <si>
    <t>#include "..\Bars\BarSeriesPatterns\SCandlesPatterns\PatternGravestoneDoji.mqh"</t>
  </si>
  <si>
    <t>CPatternHammer</t>
  </si>
  <si>
    <t>#include "..\Bars\BarSeriesPatterns\SCandlesPatterns\PatternHammer.mqh"</t>
  </si>
  <si>
    <t>CPatternHangingMan</t>
  </si>
  <si>
    <t>#include "..\Bars\BarSeriesPatterns\SCandlesPatterns\PatternHangingMan.mqh"</t>
  </si>
  <si>
    <t>CPatternInvertedHammer</t>
  </si>
  <si>
    <t>#include "..\Bars\BarSeriesPatterns\SCandlesPatterns\PatternInvertedHammer.mqh"</t>
  </si>
  <si>
    <t>CPatternPinBar</t>
  </si>
  <si>
    <t>#include "..\Bars\BarSeriesPatterns\SCandlesPatterns\PatternPinBar.mqh"</t>
  </si>
  <si>
    <t>CPatternShootingStar</t>
  </si>
  <si>
    <t>#include "..\Bars\BarSeriesPatterns\SCandlesPatterns\PatternShootingStar.mqh"</t>
  </si>
  <si>
    <t>Timeseries\Bars\BarSeriesPatterns\TrCandlesPatterns</t>
  </si>
  <si>
    <t>CPatternAbandonedBaby</t>
  </si>
  <si>
    <t>#include "..\Bars\BarSeriesPatterns\TrCandlesPatterns\PatternAbandonedBaby.mqh"</t>
  </si>
  <si>
    <t>CPatternEveningDojiStar</t>
  </si>
  <si>
    <t>#include "..\Bars\BarSeriesPatterns\TrCandlesPatterns\PatternEveningDojiStar.mqh"</t>
  </si>
  <si>
    <t>CPatternEveningStar</t>
  </si>
  <si>
    <t>#include "..\Bars\BarSeriesPatterns\TrCandlesPatterns\PatternEveningStar.mqh"</t>
  </si>
  <si>
    <t>CPatternMorningDojiStar</t>
  </si>
  <si>
    <t>#include "..\Bars\BarSeriesPatterns\TrCandlesPatterns\PatternMorningDojiStar.mqh"</t>
  </si>
  <si>
    <t>CPatternMorningStar</t>
  </si>
  <si>
    <t>#include "..\Bars\BarSeriesPatterns\TrCandlesPatterns\PatternMorningStar.mqh"</t>
  </si>
  <si>
    <t>CPatternPivotPointReversal</t>
  </si>
  <si>
    <t>#include "..\Bars\BarSeriesPatterns\TrCandlesPatterns\PatternPivotPointReversal.mqh"</t>
  </si>
  <si>
    <t>CPatternThreeBlackCrows</t>
  </si>
  <si>
    <t>#include "..\Bars\BarSeriesPatterns\TrCandlesPatterns\PatternThreeBlackCrows.mqh"</t>
  </si>
  <si>
    <t>CPatternThreeInsideDown</t>
  </si>
  <si>
    <t>#include "..\Bars\BarSeriesPatterns\TrCandlesPatterns\PatternThreeInsideDown.mqh"</t>
  </si>
  <si>
    <t>CPatternThreeInsideUp</t>
  </si>
  <si>
    <t>#include "..\Bars\BarSeriesPatterns\TrCandlesPatterns\PatternThreeInsideUp.mqh"</t>
  </si>
  <si>
    <t>CPatternThreeStars</t>
  </si>
  <si>
    <t>#include "..\Bars\BarSeriesPatterns\TrCandlesPatterns\PatternThreeStars.mqh"</t>
  </si>
  <si>
    <t>CPatternThreeWhiteSoldiers</t>
  </si>
  <si>
    <t>#include "..\Bars\BarSeriesPatterns\TrCandlesPatterns\PatternThreeWhiteSoldiers.mqh"</t>
  </si>
  <si>
    <t>Timeseries\Indicators</t>
  </si>
  <si>
    <t>CBuffer</t>
  </si>
  <si>
    <t>#include "..\Indicators\Buffer.mqh"</t>
  </si>
  <si>
    <t>CBufferArrow</t>
  </si>
  <si>
    <t>#include "..\Indicators\BufferArrow.mqh"</t>
  </si>
  <si>
    <t>CBufferBars</t>
  </si>
  <si>
    <t>#include "..\Indicators\BufferBars.mqh"</t>
  </si>
  <si>
    <t>CBufferCalculate</t>
  </si>
  <si>
    <t>#include "..\Indicators\BufferCalculate.mqh"</t>
  </si>
  <si>
    <t>CBufferCandles</t>
  </si>
  <si>
    <t>#include "..\Indicators\BufferCandles.mqh"</t>
  </si>
  <si>
    <t>CBufferFilling</t>
  </si>
  <si>
    <t>#include "..\Indicators\BufferFilling.mqh"</t>
  </si>
  <si>
    <t>CBufferHistogram</t>
  </si>
  <si>
    <t>#include "..\Indicators\BufferHistogram.mqh"</t>
  </si>
  <si>
    <t>CBufferHistogram2</t>
  </si>
  <si>
    <t>#include "..\Indicators\BufferHistogram2.mqh"</t>
  </si>
  <si>
    <t>CBufferLine</t>
  </si>
  <si>
    <t>#include "..\Indicators\BufferLine.mqh"</t>
  </si>
  <si>
    <t>CBufferSection</t>
  </si>
  <si>
    <t>#include "..\Indicators\BufferSection.mqh"</t>
  </si>
  <si>
    <t>CBufferZigZag</t>
  </si>
  <si>
    <t>#include "..\Indicators\BufferZigZag.mqh"</t>
  </si>
  <si>
    <t>CDataInd</t>
  </si>
  <si>
    <t>#include "..\Indicators\DataInd.mqh"</t>
  </si>
  <si>
    <t>CIndicatorDE</t>
  </si>
  <si>
    <t>#include "..\Indicators\IndicatorDE.mqh"</t>
  </si>
  <si>
    <t>CSeriesDataInd</t>
  </si>
  <si>
    <t>#include "..\Indicators\SeriesDataInd.mqh"</t>
  </si>
  <si>
    <t>Timeseries\Indicators\Standard</t>
  </si>
  <si>
    <t>CIndAC</t>
  </si>
  <si>
    <t>#include "..\Indicators\Standard\IndAC.mqh"</t>
  </si>
  <si>
    <t>CIndAD</t>
  </si>
  <si>
    <t>#include "..\Indicators\Standard\IndAD.mqh"</t>
  </si>
  <si>
    <t>CIndADX</t>
  </si>
  <si>
    <t>#include "..\Indicators\Standard\IndADX.mqh"</t>
  </si>
  <si>
    <t>CIndADXW</t>
  </si>
  <si>
    <t>#include "..\Indicators\Standard\IndADXW.mqh"</t>
  </si>
  <si>
    <t>CIndAlligator</t>
  </si>
  <si>
    <t>#include "..\Indicators\Standard\IndAlligator.mqh"</t>
  </si>
  <si>
    <t>CIndAMA</t>
  </si>
  <si>
    <t>#include "..\Indicators\Standard\IndAMA.mqh"</t>
  </si>
  <si>
    <t>CIndAO</t>
  </si>
  <si>
    <t>#include "..\Indicators\Standard\IndAO.mqh"</t>
  </si>
  <si>
    <t>CIndATR</t>
  </si>
  <si>
    <t>#include "..\Indicators\Standard\IndATR.mqh"</t>
  </si>
  <si>
    <t>CIndBands</t>
  </si>
  <si>
    <t>#include "..\Indicators\Standard\IndBands.mqh"</t>
  </si>
  <si>
    <t>CIndBears</t>
  </si>
  <si>
    <t>#include "..\Indicators\Standard\IndBears.mqh"</t>
  </si>
  <si>
    <t>CIndBulls</t>
  </si>
  <si>
    <t>#include "..\Indicators\Standard\IndBulls.mqh"</t>
  </si>
  <si>
    <t>CIndBWMFI</t>
  </si>
  <si>
    <t>#include "..\Indicators\Standard\IndBWMFI.mqh"</t>
  </si>
  <si>
    <t>CIndCCI</t>
  </si>
  <si>
    <t>#include "..\Indicators\Standard\IndCCI.mqh"</t>
  </si>
  <si>
    <t>CIndCHO</t>
  </si>
  <si>
    <t>#include "..\Indicators\Standard\IndChaikin.mqh"</t>
  </si>
  <si>
    <t>CIndCustom</t>
  </si>
  <si>
    <t>#include "..\Indicators\Standard\IndCustom.mqh"</t>
  </si>
  <si>
    <t>CIndDEMA</t>
  </si>
  <si>
    <t>#include "..\Indicators\Standard\IndDEMA.mqh"</t>
  </si>
  <si>
    <t>CIndDeMarker</t>
  </si>
  <si>
    <t>#include "..\Indicators\Standard\IndDeMarker.mqh"</t>
  </si>
  <si>
    <t>CIndEnvelopes</t>
  </si>
  <si>
    <t>#include "..\Indicators\Standard\IndEnvelopes.mqh"</t>
  </si>
  <si>
    <t>CIndForce</t>
  </si>
  <si>
    <t>#include "..\Indicators\Standard\IndForce.mqh"</t>
  </si>
  <si>
    <t>CIndFractals</t>
  </si>
  <si>
    <t>#include "..\Indicators\Standard\IndFractals.mqh"</t>
  </si>
  <si>
    <t>CIndFRAMA</t>
  </si>
  <si>
    <t>#include "..\Indicators\Standard\IndFRAMA.mqh"</t>
  </si>
  <si>
    <t>CIndGator</t>
  </si>
  <si>
    <t>#include "..\Indicators\Standard\IndGator.mqh"</t>
  </si>
  <si>
    <t>CIndIchimoku</t>
  </si>
  <si>
    <t>#include "..\Indicators\Standard\IndIchimoku.mqh"</t>
  </si>
  <si>
    <t>CIndMA</t>
  </si>
  <si>
    <t>#include "..\Indicators\Standard\IndMA.mqh"</t>
  </si>
  <si>
    <t>CIndMACD</t>
  </si>
  <si>
    <t>#include "..\Indicators\Standard\IndMACD.mqh"</t>
  </si>
  <si>
    <t>CIndMFI</t>
  </si>
  <si>
    <t>#include "..\Indicators\Standard\IndMFI.mqh"</t>
  </si>
  <si>
    <t>CIndMomentum</t>
  </si>
  <si>
    <t>#include "..\Indicators\Standard\IndMomentum.mqh"</t>
  </si>
  <si>
    <t>CIndOBV</t>
  </si>
  <si>
    <t>#include "..\Indicators\Standard\IndOBV.mqh"</t>
  </si>
  <si>
    <t>CIndOsMA</t>
  </si>
  <si>
    <t>#include "..\Indicators\Standard\IndOsMA.mqh"</t>
  </si>
  <si>
    <t>CIndRSI</t>
  </si>
  <si>
    <t>#include "..\Indicators\Standard\IndRSI.mqh"</t>
  </si>
  <si>
    <t>CIndRVI</t>
  </si>
  <si>
    <t>#include "..\Indicators\Standard\IndRVI.mqh"</t>
  </si>
  <si>
    <t>CIndSAR</t>
  </si>
  <si>
    <t>#include "..\Indicators\Standard\IndSAR.mqh"</t>
  </si>
  <si>
    <t>CIndStDev</t>
  </si>
  <si>
    <t>#include "..\Indicators\Standard\IndStDev.mqh"</t>
  </si>
  <si>
    <t>CIndStoch</t>
  </si>
  <si>
    <t>#include "..\Indicators\Standard\IndStoch.mqh"</t>
  </si>
  <si>
    <t>CIndTEMA</t>
  </si>
  <si>
    <t>#include "..\Indicators\Standard\IndTEMA.mqh"</t>
  </si>
  <si>
    <t>CIndTRIX</t>
  </si>
  <si>
    <t>#include "..\Indicators\Standard\IndTRIX.mqh"</t>
  </si>
  <si>
    <t>CIndVIDYA</t>
  </si>
  <si>
    <t>#include "..\Indicators\Standard\IndVIDYA.mqh"</t>
  </si>
  <si>
    <t>CIndVolumes</t>
  </si>
  <si>
    <t>#include "..\Indicators\Standard\IndVolumes.mqh"</t>
  </si>
  <si>
    <t>CIndWPR</t>
  </si>
  <si>
    <t>#include "..\Indicators\Standard\IndWPR.mqh"</t>
  </si>
  <si>
    <t>Timeseries\MQLSignalBase</t>
  </si>
  <si>
    <t>MQLSignal.mqh</t>
  </si>
  <si>
    <t>CMQLSignal</t>
  </si>
  <si>
    <t>#include "..\MQLSignalBase\MQLSignal.mqh"</t>
  </si>
  <si>
    <t>#include &lt;Vendors\Anhnt\Library\4. Combination Lib\Timeseries\MQLSignalBase\MQLSignal.mqh&gt;</t>
  </si>
  <si>
    <t>Timeseries\Ticks</t>
  </si>
  <si>
    <t>CDataTick</t>
  </si>
  <si>
    <t>#include "..\Ticks\DataTick.mqh"</t>
  </si>
  <si>
    <t>CNewTickObj</t>
  </si>
  <si>
    <t>#include "..\Ticks\NewTickObj.mqh"</t>
  </si>
  <si>
    <t>CTickSeries</t>
  </si>
  <si>
    <t>#include "..\Ticks\TickSeries.mqh"</t>
  </si>
  <si>
    <t>Trading</t>
  </si>
  <si>
    <t>CTradeObj</t>
  </si>
  <si>
    <t>#include "..\..\Trading\TradeObj.mqh"</t>
  </si>
  <si>
    <t>#include "..\..\Trading\Trading.mqh"</t>
  </si>
  <si>
    <t>#include &lt;Vendors\Anhnt\Library\4. Combination Lib\Trading\Trading.mqh&gt;</t>
  </si>
  <si>
    <t>TradingControl.mqh</t>
  </si>
  <si>
    <t>CTradingControl</t>
  </si>
  <si>
    <t>#include "..\..\Trading\TradingControl.mqh"</t>
  </si>
  <si>
    <t>#include &lt;Vendors\Anhnt\Library\4. Combination Lib\Trading\TradingControl.mqh&gt;</t>
  </si>
  <si>
    <t>Trading\Accounts</t>
  </si>
  <si>
    <t>CAccount</t>
  </si>
  <si>
    <t>#include "..\..\Trading\Accounts\Account.mqh"</t>
  </si>
  <si>
    <t>Trading\Book</t>
  </si>
  <si>
    <t>CMarketBookBuy</t>
  </si>
  <si>
    <t>CMarketBookOrd</t>
  </si>
  <si>
    <t>#include "..\..\Trading\Book\MarketBookBuy.mqh"</t>
  </si>
  <si>
    <t>CMarketBookBuyMarket</t>
  </si>
  <si>
    <t>#include "..\..\Trading\Book\MarketBookBuyMarket.mqh"</t>
  </si>
  <si>
    <t>#include "..\..\Trading\Book\MarketBookOrd.mqh"</t>
  </si>
  <si>
    <t>CMarketBookSell</t>
  </si>
  <si>
    <t>#include "..\..\Trading\Book\MarketBookSell.mqh"</t>
  </si>
  <si>
    <t>CMarketBookSellMarket</t>
  </si>
  <si>
    <t>#include "..\..\Trading\Book\MarketBookSellMarket.mqh"</t>
  </si>
  <si>
    <t>CMBookSnapshot</t>
  </si>
  <si>
    <t>#include "..\..\Trading\Book\MarketBookSnapshot.mqh"</t>
  </si>
  <si>
    <t>CMBookSeries</t>
  </si>
  <si>
    <t>#include "..\..\Trading\Book\MBookSeries.mqh"</t>
  </si>
  <si>
    <t>Trading\Events</t>
  </si>
  <si>
    <t>CEvent</t>
  </si>
  <si>
    <t>#include "..\..\Trading\Events\Event.mqh"</t>
  </si>
  <si>
    <t>CEventBalanceOperation</t>
  </si>
  <si>
    <t>#include "..\..\Trading\Events\EventBalanceOperation.mqh"</t>
  </si>
  <si>
    <t>CEventModify</t>
  </si>
  <si>
    <t>#include "..\..\Trading\Events\EventModify.mqh"</t>
  </si>
  <si>
    <t>CEventOrderPlased</t>
  </si>
  <si>
    <t>#include "..\..\Trading\Events\EventOrderPlaced.mqh"</t>
  </si>
  <si>
    <t>CEventOrderRemoved</t>
  </si>
  <si>
    <t>#include "..\..\Trading\Events\EventOrderRemoved.mqh"</t>
  </si>
  <si>
    <t>CEventPositionClose</t>
  </si>
  <si>
    <t>#include "..\..\Trading\Events\EventPositionClose.mqh"</t>
  </si>
  <si>
    <t>CEventPositionOpen</t>
  </si>
  <si>
    <t>#include "..\..\Trading\Events\EventPositionOpen.mqh"</t>
  </si>
  <si>
    <t>Trading\Orders</t>
  </si>
  <si>
    <t>CHistoryBalance</t>
  </si>
  <si>
    <t>COrder</t>
  </si>
  <si>
    <t>#include "..\..\Trading\Orders\HistoryBalance.mqh"</t>
  </si>
  <si>
    <t>CHistoryDeal</t>
  </si>
  <si>
    <t>#include "..\..\Trading\Orders\HistoryDeal.mqh"</t>
  </si>
  <si>
    <t>CHistoryOrder</t>
  </si>
  <si>
    <t>#include "..\..\Trading\Orders\HistoryOrder.mqh"</t>
  </si>
  <si>
    <t>CHistoryPending</t>
  </si>
  <si>
    <t>#include "..\..\Trading\Orders\HistoryPending.mqh"</t>
  </si>
  <si>
    <t>CMarketOrder</t>
  </si>
  <si>
    <t>#include "..\..\Trading\Orders\MarketOrder.mqh"</t>
  </si>
  <si>
    <t>CMarketPending</t>
  </si>
  <si>
    <t>#include "..\..\Trading\Orders\MarketPending.mqh"</t>
  </si>
  <si>
    <t>CMarketPosition</t>
  </si>
  <si>
    <t>#include "..\..\Trading\Orders\MarketPosition.mqh"</t>
  </si>
  <si>
    <t>#include "..\..\Trading\Orders\Order.mqh"</t>
  </si>
  <si>
    <t>COrderControl</t>
  </si>
  <si>
    <t>#include "..\..\Trading\Orders\OrderControl.mqh"</t>
  </si>
  <si>
    <t>#include &lt;Vendors\Anhnt\Library\4. Combination Lib\Trading\Orders\OrderControl.mqh&gt;</t>
  </si>
  <si>
    <t>Trading\PendRequest</t>
  </si>
  <si>
    <t>CPendReqClose</t>
  </si>
  <si>
    <t>CPendRequest</t>
  </si>
  <si>
    <t>#include "..\..\Trading\PendRequest\PendReqClose.mqh"</t>
  </si>
  <si>
    <t>CPendReqModify</t>
  </si>
  <si>
    <t>#include "..\..\Trading\PendRequest\PendReqModify.mqh"</t>
  </si>
  <si>
    <t>CPendReqOpen</t>
  </si>
  <si>
    <t>#include "..\..\Trading\PendRequest\PendReqOpen.mqh"</t>
  </si>
  <si>
    <t>CPendReqPlace</t>
  </si>
  <si>
    <t>#include "..\..\Trading\PendRequest\PendReqPlace.mqh"</t>
  </si>
  <si>
    <t>CPendReqRemove</t>
  </si>
  <si>
    <t>#include "..\..\Trading\PendRequest\PendReqRemove.mqh"</t>
  </si>
  <si>
    <t>CPendReqSLTP</t>
  </si>
  <si>
    <t>#include "..\..\Trading\PendRequest\PendReqSLTP.mqh"</t>
  </si>
  <si>
    <t>#include "..\..\Trading\PendRequest\PendRequest.mqh"</t>
  </si>
  <si>
    <t>Trading\Symbols</t>
  </si>
  <si>
    <t>CSymbol</t>
  </si>
  <si>
    <t>#include "..\..\Trading\Symbols\Symbol.mqh"</t>
  </si>
  <si>
    <t>CSymbolBonds</t>
  </si>
  <si>
    <t>#include "..\..\Trading\Symbols\SymbolBonds.mqh"</t>
  </si>
  <si>
    <t>CSymbolCFD</t>
  </si>
  <si>
    <t>#include "..\..\Trading\Symbols\SymbolCFD.mqh"</t>
  </si>
  <si>
    <t>CSymbolCollateral</t>
  </si>
  <si>
    <t>#include "..\..\Trading\Symbols\SymbolCollateral.mqh"</t>
  </si>
  <si>
    <t>CSymbolCommodity</t>
  </si>
  <si>
    <t>#include "..\..\Trading\Symbols\SymbolCommodity.mqh"</t>
  </si>
  <si>
    <t>CSymbolCommon</t>
  </si>
  <si>
    <t>#include "..\..\Trading\Symbols\SymbolCommon.mqh"</t>
  </si>
  <si>
    <t>CSymbolCrypto</t>
  </si>
  <si>
    <t>#include "..\..\Trading\Symbols\SymbolCrypto.mqh"</t>
  </si>
  <si>
    <t>CSymbolCustom</t>
  </si>
  <si>
    <t>#include "..\..\Trading\Symbols\SymbolCustom.mqh"</t>
  </si>
  <si>
    <t>CSymbolExchange</t>
  </si>
  <si>
    <t>#include "..\..\Trading\Symbols\SymbolExchange.mqh"</t>
  </si>
  <si>
    <t>CSymbolFutures</t>
  </si>
  <si>
    <t>#include "..\..\Trading\Symbols\SymbolFutures.mqh"</t>
  </si>
  <si>
    <t>CSymbolFX</t>
  </si>
  <si>
    <t>#include "..\..\Trading\Symbols\SymbolFX.mqh"</t>
  </si>
  <si>
    <t>CSymbolFXExotic</t>
  </si>
  <si>
    <t>#include "..\..\Trading\Symbols\SymbolFXExotic.mqh"</t>
  </si>
  <si>
    <t>CSymbolFXMajor</t>
  </si>
  <si>
    <t>#include "..\..\Trading\Symbols\SymbolFXMajor.mqh"</t>
  </si>
  <si>
    <t>CSymbolFXMinor</t>
  </si>
  <si>
    <t>#include "..\..\Trading\Symbols\SymbolFXMinor.mqh"</t>
  </si>
  <si>
    <t>CSymbolFXRub</t>
  </si>
  <si>
    <t>#include "..\..\Trading\Symbols\SymbolFXRub.mqh"</t>
  </si>
  <si>
    <t>CSymbolIndex</t>
  </si>
  <si>
    <t>#include "..\..\Trading\Symbols\SymbolIndex.mqh"</t>
  </si>
  <si>
    <t>CSymbolIndicative</t>
  </si>
  <si>
    <t>#include "..\..\Trading\Symbols\SymbolIndicative.mqh"</t>
  </si>
  <si>
    <t>CSymbolMetall</t>
  </si>
  <si>
    <t>#include "..\..\Trading\Symbols\SymbolMetall.mqh"</t>
  </si>
  <si>
    <t>CSymbolOption</t>
  </si>
  <si>
    <t>#include "..\..\Trading\Symbols\SymbolOption.mqh"</t>
  </si>
  <si>
    <t>CSymbolStocks</t>
  </si>
  <si>
    <t>#include "..\..\Trading\Symbols\SymbolStocks.mqh"</t>
  </si>
  <si>
    <t>CScrollH.mqh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</si>
</sst>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 applyAlignment="1">
      <alignment vertical="center"/>
    </xf>
  </cellXfs>
  <cellStyles count="2">
    <cellStyle name="Hyperlink" xfId="1" builtinId="8" customBuiltin="1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39756</xdr:colOff>
      <xdr:row>2</xdr:row>
      <xdr:rowOff>33130</xdr:rowOff>
    </xdr:from>
    <xdr:to>
      <xdr:col>8</xdr:col>
      <xdr:colOff>96906</xdr:colOff>
      <xdr:row>2</xdr:row>
      <xdr:rowOff>315816</xdr:rowOff>
    </xdr:to>
    <xdr:sp macro="[0]!DashBoard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5565913" y="404191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8</xdr:col>
      <xdr:colOff>496956</xdr:colOff>
      <xdr:row>0</xdr:row>
      <xdr:rowOff>126971</xdr:rowOff>
    </xdr:from>
    <xdr:to>
      <xdr:col>11</xdr:col>
      <xdr:colOff>554106</xdr:colOff>
      <xdr:row>2</xdr:row>
      <xdr:rowOff>35945</xdr:rowOff>
    </xdr:to>
    <xdr:sp macro="[0]!SheetFolderClearData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7851913" y="12697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Folders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259691</xdr:colOff>
      <xdr:row>0</xdr:row>
      <xdr:rowOff>112643</xdr:rowOff>
    </xdr:from>
    <xdr:to>
      <xdr:col>15</xdr:col>
      <xdr:colOff>316841</xdr:colOff>
      <xdr:row>2</xdr:row>
      <xdr:rowOff>66260</xdr:rowOff>
    </xdr:to>
    <xdr:sp macro="[0]!SheetFolder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10053048" y="112643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483704</xdr:colOff>
      <xdr:row>2</xdr:row>
      <xdr:rowOff>299477</xdr:rowOff>
    </xdr:from>
    <xdr:to>
      <xdr:col>11</xdr:col>
      <xdr:colOff>540854</xdr:colOff>
      <xdr:row>3</xdr:row>
      <xdr:rowOff>32746</xdr:rowOff>
    </xdr:to>
    <xdr:sp macro="[0]!SheetFileClearData" textlink="">
      <xdr:nvSpPr>
        <xdr:cNvPr id="6" name="Rounded Rectangle 3">
          <a:extLst>
            <a:ext uri="{FF2B5EF4-FFF2-40B4-BE49-F238E27FC236}">
              <a16:creationId xmlns:a16="http://schemas.microsoft.com/office/drawing/2014/main" id="{D2E05A71-AC54-0E76-C780-019EAD88AD22}"/>
            </a:ext>
          </a:extLst>
        </xdr:cNvPr>
        <xdr:cNvSpPr/>
      </xdr:nvSpPr>
      <xdr:spPr>
        <a:xfrm>
          <a:off x="7838661" y="670538"/>
          <a:ext cx="1885950" cy="28323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Files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279569</xdr:colOff>
      <xdr:row>2</xdr:row>
      <xdr:rowOff>271670</xdr:rowOff>
    </xdr:from>
    <xdr:to>
      <xdr:col>15</xdr:col>
      <xdr:colOff>336719</xdr:colOff>
      <xdr:row>3</xdr:row>
      <xdr:rowOff>46383</xdr:rowOff>
    </xdr:to>
    <xdr:sp macro="[0]!SheetFileListFilesWithFilter" textlink="">
      <xdr:nvSpPr>
        <xdr:cNvPr id="7" name="Rounded Rectangle 2">
          <a:extLst>
            <a:ext uri="{FF2B5EF4-FFF2-40B4-BE49-F238E27FC236}">
              <a16:creationId xmlns:a16="http://schemas.microsoft.com/office/drawing/2014/main" id="{070E31F4-2A52-A739-28CA-BC1160B6DE42}"/>
            </a:ext>
          </a:extLst>
        </xdr:cNvPr>
        <xdr:cNvSpPr/>
      </xdr:nvSpPr>
      <xdr:spPr>
        <a:xfrm>
          <a:off x="10072926" y="642731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53011</xdr:colOff>
      <xdr:row>8</xdr:row>
      <xdr:rowOff>66262</xdr:rowOff>
    </xdr:from>
    <xdr:to>
      <xdr:col>8</xdr:col>
      <xdr:colOff>110161</xdr:colOff>
      <xdr:row>9</xdr:row>
      <xdr:rowOff>163416</xdr:rowOff>
    </xdr:to>
    <xdr:sp macro="[0]!PickFileToCell" textlink="">
      <xdr:nvSpPr>
        <xdr:cNvPr id="8" name="Rounded Rectangle 2">
          <a:extLst>
            <a:ext uri="{FF2B5EF4-FFF2-40B4-BE49-F238E27FC236}">
              <a16:creationId xmlns:a16="http://schemas.microsoft.com/office/drawing/2014/main" id="{0DA7441E-2813-6ECB-7EFB-5CCFE573049C}"/>
            </a:ext>
          </a:extLst>
        </xdr:cNvPr>
        <xdr:cNvSpPr/>
      </xdr:nvSpPr>
      <xdr:spPr>
        <a:xfrm>
          <a:off x="5579168" y="1914940"/>
          <a:ext cx="1885950" cy="28268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file</a:t>
          </a:r>
        </a:p>
      </xdr:txBody>
    </xdr:sp>
    <xdr:clientData/>
  </xdr:twoCellAnchor>
  <xdr:twoCellAnchor editAs="absolute">
    <xdr:from>
      <xdr:col>8</xdr:col>
      <xdr:colOff>457200</xdr:colOff>
      <xdr:row>6</xdr:row>
      <xdr:rowOff>133598</xdr:rowOff>
    </xdr:from>
    <xdr:to>
      <xdr:col>11</xdr:col>
      <xdr:colOff>514350</xdr:colOff>
      <xdr:row>8</xdr:row>
      <xdr:rowOff>42572</xdr:rowOff>
    </xdr:to>
    <xdr:sp macro="[0]!SheetRelativeIncludeClearData" textlink="">
      <xdr:nvSpPr>
        <xdr:cNvPr id="9" name="Rounded Rectangle 3">
          <a:extLst>
            <a:ext uri="{FF2B5EF4-FFF2-40B4-BE49-F238E27FC236}">
              <a16:creationId xmlns:a16="http://schemas.microsoft.com/office/drawing/2014/main" id="{07335ACF-96EC-E25F-61EA-7C9F358512F3}"/>
            </a:ext>
          </a:extLst>
        </xdr:cNvPr>
        <xdr:cNvSpPr/>
      </xdr:nvSpPr>
      <xdr:spPr>
        <a:xfrm>
          <a:off x="7812157" y="1611215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RelativeInclude</a:t>
          </a:r>
        </a:p>
      </xdr:txBody>
    </xdr:sp>
    <xdr:clientData/>
  </xdr:twoCellAnchor>
  <xdr:twoCellAnchor editAs="absolute">
    <xdr:from>
      <xdr:col>12</xdr:col>
      <xdr:colOff>272943</xdr:colOff>
      <xdr:row>6</xdr:row>
      <xdr:rowOff>106018</xdr:rowOff>
    </xdr:from>
    <xdr:to>
      <xdr:col>15</xdr:col>
      <xdr:colOff>330093</xdr:colOff>
      <xdr:row>8</xdr:row>
      <xdr:rowOff>59635</xdr:rowOff>
    </xdr:to>
    <xdr:sp macro="[0]!SheetRelativeIncludeGenerateRelativeInclude" textlink="">
      <xdr:nvSpPr>
        <xdr:cNvPr id="10" name="Rounded Rectangle 2">
          <a:extLst>
            <a:ext uri="{FF2B5EF4-FFF2-40B4-BE49-F238E27FC236}">
              <a16:creationId xmlns:a16="http://schemas.microsoft.com/office/drawing/2014/main" id="{8D3EADFB-60C4-6B65-C090-B3C60600CD62}"/>
            </a:ext>
          </a:extLst>
        </xdr:cNvPr>
        <xdr:cNvSpPr/>
      </xdr:nvSpPr>
      <xdr:spPr>
        <a:xfrm>
          <a:off x="10066300" y="158363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RelativeInclude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271670</xdr:colOff>
      <xdr:row>4</xdr:row>
      <xdr:rowOff>20954</xdr:rowOff>
    </xdr:from>
    <xdr:to>
      <xdr:col>15</xdr:col>
      <xdr:colOff>328820</xdr:colOff>
      <xdr:row>5</xdr:row>
      <xdr:rowOff>115459</xdr:rowOff>
    </xdr:to>
    <xdr:sp macro="[0]!SheetDeleteDeleteFilesWithOrderedLog" textlink="">
      <xdr:nvSpPr>
        <xdr:cNvPr id="11" name="Rounded Rectangle 3">
          <a:extLst>
            <a:ext uri="{FF2B5EF4-FFF2-40B4-BE49-F238E27FC236}">
              <a16:creationId xmlns:a16="http://schemas.microsoft.com/office/drawing/2014/main" id="{B9D1B599-1144-96DC-65A6-C6604B556378}"/>
            </a:ext>
          </a:extLst>
        </xdr:cNvPr>
        <xdr:cNvSpPr/>
      </xdr:nvSpPr>
      <xdr:spPr>
        <a:xfrm>
          <a:off x="10065027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Exclude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470451</xdr:colOff>
      <xdr:row>9</xdr:row>
      <xdr:rowOff>206484</xdr:rowOff>
    </xdr:from>
    <xdr:to>
      <xdr:col>11</xdr:col>
      <xdr:colOff>527601</xdr:colOff>
      <xdr:row>9</xdr:row>
      <xdr:rowOff>486519</xdr:rowOff>
    </xdr:to>
    <xdr:sp macro="[0]!SheetClassClearData" textlink="">
      <xdr:nvSpPr>
        <xdr:cNvPr id="5" name="Rounded Rectangle 3">
          <a:extLst>
            <a:ext uri="{FF2B5EF4-FFF2-40B4-BE49-F238E27FC236}">
              <a16:creationId xmlns:a16="http://schemas.microsoft.com/office/drawing/2014/main" id="{CCF15758-2D7E-B0E1-9C44-92DD357F1B63}"/>
            </a:ext>
          </a:extLst>
        </xdr:cNvPr>
        <xdr:cNvSpPr/>
      </xdr:nvSpPr>
      <xdr:spPr>
        <a:xfrm>
          <a:off x="7825408" y="2240693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Clear</a:t>
          </a:r>
          <a:r>
            <a:rPr lang="en-US" sz="1800" b="0" baseline="0">
              <a:solidFill>
                <a:schemeClr val="tx1"/>
              </a:solidFill>
            </a:rPr>
            <a:t> Class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299447</xdr:colOff>
      <xdr:row>9</xdr:row>
      <xdr:rowOff>192156</xdr:rowOff>
    </xdr:from>
    <xdr:to>
      <xdr:col>15</xdr:col>
      <xdr:colOff>356597</xdr:colOff>
      <xdr:row>9</xdr:row>
      <xdr:rowOff>516834</xdr:rowOff>
    </xdr:to>
    <xdr:sp macro="[0]!SheetClassScanClass" textlink="">
      <xdr:nvSpPr>
        <xdr:cNvPr id="12" name="Rounded Rectangle 2">
          <a:extLst>
            <a:ext uri="{FF2B5EF4-FFF2-40B4-BE49-F238E27FC236}">
              <a16:creationId xmlns:a16="http://schemas.microsoft.com/office/drawing/2014/main" id="{C9DB7945-FC31-17ED-B344-47905D1CE4FA}"/>
            </a:ext>
          </a:extLst>
        </xdr:cNvPr>
        <xdr:cNvSpPr/>
      </xdr:nvSpPr>
      <xdr:spPr>
        <a:xfrm>
          <a:off x="10092804" y="222636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Scan Classes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483705</xdr:colOff>
      <xdr:row>4</xdr:row>
      <xdr:rowOff>20954</xdr:rowOff>
    </xdr:from>
    <xdr:to>
      <xdr:col>11</xdr:col>
      <xdr:colOff>540855</xdr:colOff>
      <xdr:row>5</xdr:row>
      <xdr:rowOff>115459</xdr:rowOff>
    </xdr:to>
    <xdr:sp macro="[0]!SheetDeleteClearData" textlink="">
      <xdr:nvSpPr>
        <xdr:cNvPr id="13" name="Rounded Rectangle 3">
          <a:extLst>
            <a:ext uri="{FF2B5EF4-FFF2-40B4-BE49-F238E27FC236}">
              <a16:creationId xmlns:a16="http://schemas.microsoft.com/office/drawing/2014/main" id="{93B9613C-022B-3295-38D3-4F93CB086A29}"/>
            </a:ext>
          </a:extLst>
        </xdr:cNvPr>
        <xdr:cNvSpPr/>
      </xdr:nvSpPr>
      <xdr:spPr>
        <a:xfrm>
          <a:off x="7838662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Delete Sheets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  <row r="1199">
          <cell r="A1199">
            <v>46113</v>
          </cell>
        </row>
        <row r="1200">
          <cell r="A1200">
            <v>46113</v>
          </cell>
        </row>
        <row r="1201">
          <cell r="A1201">
            <v>46113</v>
          </cell>
        </row>
        <row r="1202">
          <cell r="A1202">
            <v>46113</v>
          </cell>
        </row>
        <row r="1203">
          <cell r="A1203">
            <v>46113</v>
          </cell>
        </row>
        <row r="1204">
          <cell r="A1204">
            <v>46113</v>
          </cell>
        </row>
        <row r="1205">
          <cell r="A1205">
            <v>46114</v>
          </cell>
        </row>
        <row r="1206">
          <cell r="A1206">
            <v>46114</v>
          </cell>
        </row>
        <row r="1207">
          <cell r="A1207">
            <v>46114</v>
          </cell>
        </row>
        <row r="1208">
          <cell r="A1208">
            <v>46114</v>
          </cell>
        </row>
        <row r="1209">
          <cell r="A1209">
            <v>46114</v>
          </cell>
        </row>
        <row r="1210">
          <cell r="A1210">
            <v>46114</v>
          </cell>
        </row>
        <row r="1211">
          <cell r="A1211">
            <v>46115</v>
          </cell>
        </row>
        <row r="1212">
          <cell r="A1212">
            <v>46115</v>
          </cell>
        </row>
        <row r="1213">
          <cell r="A1213">
            <v>46115</v>
          </cell>
        </row>
        <row r="1214">
          <cell r="A1214">
            <v>46116</v>
          </cell>
        </row>
        <row r="1215">
          <cell r="A1215">
            <v>46116</v>
          </cell>
        </row>
        <row r="1216">
          <cell r="A1216">
            <v>46116</v>
          </cell>
        </row>
        <row r="1217">
          <cell r="A1217">
            <v>46117</v>
          </cell>
        </row>
        <row r="1218">
          <cell r="A1218">
            <v>46117</v>
          </cell>
        </row>
        <row r="1219">
          <cell r="A1219">
            <v>46117</v>
          </cell>
        </row>
        <row r="1220">
          <cell r="A1220">
            <v>46118</v>
          </cell>
        </row>
        <row r="1221">
          <cell r="A1221">
            <v>46118</v>
          </cell>
        </row>
        <row r="1222">
          <cell r="A1222">
            <v>46118</v>
          </cell>
        </row>
        <row r="1223">
          <cell r="A1223">
            <v>46119</v>
          </cell>
        </row>
        <row r="1224">
          <cell r="A1224">
            <v>46119</v>
          </cell>
        </row>
        <row r="1225">
          <cell r="A1225">
            <v>46119</v>
          </cell>
        </row>
        <row r="1226">
          <cell r="A1226">
            <v>46120</v>
          </cell>
        </row>
        <row r="1227">
          <cell r="A1227">
            <v>46120</v>
          </cell>
        </row>
        <row r="1228">
          <cell r="A1228">
            <v>46120</v>
          </cell>
        </row>
        <row r="1229">
          <cell r="A1229">
            <v>46120</v>
          </cell>
        </row>
        <row r="1230">
          <cell r="A1230">
            <v>46120</v>
          </cell>
        </row>
        <row r="1231">
          <cell r="A1231">
            <v>46120</v>
          </cell>
        </row>
        <row r="1232">
          <cell r="A1232">
            <v>46121</v>
          </cell>
        </row>
        <row r="1233">
          <cell r="A1233">
            <v>46121</v>
          </cell>
        </row>
        <row r="1234">
          <cell r="A1234">
            <v>46121</v>
          </cell>
        </row>
        <row r="1235">
          <cell r="A1235">
            <v>46122</v>
          </cell>
        </row>
        <row r="1236">
          <cell r="A1236">
            <v>46122</v>
          </cell>
        </row>
        <row r="1237">
          <cell r="A1237">
            <v>46122</v>
          </cell>
        </row>
        <row r="1238">
          <cell r="A1238">
            <v>46123</v>
          </cell>
        </row>
        <row r="1239">
          <cell r="A1239">
            <v>46123</v>
          </cell>
        </row>
        <row r="1240">
          <cell r="A1240">
            <v>46123</v>
          </cell>
        </row>
        <row r="1241">
          <cell r="A1241">
            <v>46124</v>
          </cell>
        </row>
        <row r="1242">
          <cell r="A1242">
            <v>46124</v>
          </cell>
        </row>
        <row r="1243">
          <cell r="A1243">
            <v>46124</v>
          </cell>
        </row>
        <row r="1244">
          <cell r="A1244">
            <v>46125</v>
          </cell>
        </row>
        <row r="1245">
          <cell r="A1245">
            <v>46125</v>
          </cell>
        </row>
        <row r="1246">
          <cell r="A1246">
            <v>46125</v>
          </cell>
        </row>
        <row r="1247">
          <cell r="A1247">
            <v>46126</v>
          </cell>
        </row>
        <row r="1248">
          <cell r="A1248">
            <v>46126</v>
          </cell>
        </row>
        <row r="1249">
          <cell r="A1249">
            <v>46126</v>
          </cell>
        </row>
        <row r="1250">
          <cell r="A1250">
            <v>46127</v>
          </cell>
        </row>
        <row r="1251">
          <cell r="A1251">
            <v>46127</v>
          </cell>
        </row>
        <row r="1252">
          <cell r="A1252">
            <v>46127</v>
          </cell>
        </row>
        <row r="1253">
          <cell r="A1253">
            <v>46128</v>
          </cell>
        </row>
        <row r="1254">
          <cell r="A1254">
            <v>46128</v>
          </cell>
        </row>
        <row r="1255">
          <cell r="A1255">
            <v>46128</v>
          </cell>
        </row>
        <row r="1256">
          <cell r="A1256">
            <v>46129</v>
          </cell>
        </row>
        <row r="1257">
          <cell r="A1257">
            <v>46129</v>
          </cell>
        </row>
        <row r="1258">
          <cell r="A1258">
            <v>46129</v>
          </cell>
        </row>
        <row r="1259">
          <cell r="A1259">
            <v>46130</v>
          </cell>
        </row>
        <row r="1260">
          <cell r="A1260">
            <v>46130</v>
          </cell>
        </row>
        <row r="1261">
          <cell r="A1261">
            <v>46130</v>
          </cell>
        </row>
        <row r="1262">
          <cell r="A1262">
            <v>46131</v>
          </cell>
        </row>
        <row r="1263">
          <cell r="A1263">
            <v>46131</v>
          </cell>
        </row>
        <row r="1264">
          <cell r="A1264">
            <v>46131</v>
          </cell>
        </row>
        <row r="1265">
          <cell r="A1265">
            <v>46132</v>
          </cell>
        </row>
        <row r="1266">
          <cell r="A1266">
            <v>46132</v>
          </cell>
        </row>
        <row r="1267">
          <cell r="A1267">
            <v>46132</v>
          </cell>
        </row>
        <row r="1268">
          <cell r="A1268">
            <v>46133</v>
          </cell>
        </row>
        <row r="1269">
          <cell r="A1269">
            <v>46133</v>
          </cell>
        </row>
        <row r="1270">
          <cell r="A1270">
            <v>46133</v>
          </cell>
        </row>
        <row r="1271">
          <cell r="A1271">
            <v>46134</v>
          </cell>
        </row>
        <row r="1272">
          <cell r="A1272">
            <v>46134</v>
          </cell>
        </row>
        <row r="1273">
          <cell r="A1273">
            <v>46134</v>
          </cell>
        </row>
        <row r="1274">
          <cell r="A1274">
            <v>46137</v>
          </cell>
        </row>
        <row r="1275">
          <cell r="A1275">
            <v>46137</v>
          </cell>
        </row>
        <row r="1276">
          <cell r="A1276">
            <v>46137</v>
          </cell>
        </row>
        <row r="1277">
          <cell r="A1277">
            <v>46140</v>
          </cell>
        </row>
        <row r="1278">
          <cell r="A1278">
            <v>46140</v>
          </cell>
        </row>
        <row r="1279">
          <cell r="A1279">
            <v>46140</v>
          </cell>
        </row>
        <row r="1280">
          <cell r="A1280">
            <v>46141</v>
          </cell>
        </row>
        <row r="1281">
          <cell r="A1281">
            <v>46141</v>
          </cell>
        </row>
        <row r="1282">
          <cell r="A1282">
            <v>46141</v>
          </cell>
        </row>
      </sheetData>
      <sheetData sheetId="13"/>
      <sheetData sheetId="14"/>
      <sheetData sheetId="15"/>
      <sheetData sheetId="16">
        <row r="2">
          <cell r="A2">
            <v>45659</v>
          </cell>
        </row>
      </sheetData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../../../../../../../Microsoft/Excel/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5.bin"/><Relationship Id="rId2" Type="http://schemas.openxmlformats.org/officeDocument/2006/relationships/hyperlink" Target="../../../../../../../Microsoft/Excel/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1:D10"/>
  <sheetViews>
    <sheetView zoomScale="115" zoomScaleNormal="115" workbookViewId="0">
      <selection activeCell="D3" sqref="D3"/>
    </sheetView>
  </sheetViews>
  <sheetFormatPr defaultRowHeight="14.4" x14ac:dyDescent="0.3"/>
  <cols>
    <col min="2" max="2" width="2" style="12" bestFit="1" customWidth="1"/>
    <col min="3" max="3" width="8.6640625" style="12" bestFit="1" customWidth="1"/>
    <col min="4" max="4" width="52.109375" style="12" customWidth="1"/>
  </cols>
  <sheetData>
    <row r="1" spans="2:4" x14ac:dyDescent="0.3">
      <c r="D1" s="13" t="s">
        <v>119</v>
      </c>
    </row>
    <row r="3" spans="2:4" ht="43.2" x14ac:dyDescent="0.3">
      <c r="B3" s="12">
        <v>1</v>
      </c>
      <c r="C3" s="12" t="s">
        <v>42</v>
      </c>
      <c r="D3" s="10" t="s">
        <v>454</v>
      </c>
    </row>
    <row r="5" spans="2:4" x14ac:dyDescent="0.3">
      <c r="B5" s="12">
        <v>2</v>
      </c>
      <c r="C5" s="12" t="s">
        <v>110</v>
      </c>
      <c r="D5" s="13" t="s">
        <v>130</v>
      </c>
    </row>
    <row r="8" spans="2:4" x14ac:dyDescent="0.3">
      <c r="B8" s="12">
        <v>3</v>
      </c>
      <c r="C8" s="12" t="s">
        <v>109</v>
      </c>
      <c r="D8" s="16" t="s">
        <v>111</v>
      </c>
    </row>
    <row r="10" spans="2:4" ht="57.6" x14ac:dyDescent="0.3">
      <c r="B10" s="12">
        <v>4</v>
      </c>
      <c r="C10" s="12" t="s">
        <v>44</v>
      </c>
      <c r="D10" s="10" t="s">
        <v>445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10"/>
  <sheetViews>
    <sheetView workbookViewId="0">
      <selection activeCell="B6" sqref="B6"/>
    </sheetView>
  </sheetViews>
  <sheetFormatPr defaultRowHeight="14.4" x14ac:dyDescent="0.3"/>
  <cols>
    <col min="1" max="1" width="3.88671875" bestFit="1" customWidth="1"/>
    <col min="2" max="2" width="56.44140625" style="15" bestFit="1" customWidth="1"/>
  </cols>
  <sheetData>
    <row r="1" spans="1:3" x14ac:dyDescent="0.3">
      <c r="A1" s="9" t="s">
        <v>13</v>
      </c>
      <c r="B1" s="14" t="s">
        <v>100</v>
      </c>
      <c r="C1" s="9"/>
    </row>
    <row r="2" spans="1:3" x14ac:dyDescent="0.3">
      <c r="A2">
        <v>1</v>
      </c>
      <c r="B2" s="15" t="s">
        <v>132</v>
      </c>
    </row>
    <row r="3" spans="1:3" x14ac:dyDescent="0.3">
      <c r="A3">
        <v>2</v>
      </c>
      <c r="B3" s="15" t="s">
        <v>138</v>
      </c>
    </row>
    <row r="4" spans="1:3" x14ac:dyDescent="0.3">
      <c r="A4">
        <v>3</v>
      </c>
      <c r="B4" s="15" t="s">
        <v>133</v>
      </c>
    </row>
    <row r="5" spans="1:3" x14ac:dyDescent="0.3">
      <c r="A5">
        <v>4</v>
      </c>
      <c r="B5" s="15" t="s">
        <v>139</v>
      </c>
    </row>
    <row r="6" spans="1:3" x14ac:dyDescent="0.3">
      <c r="A6">
        <v>5</v>
      </c>
      <c r="B6" s="15" t="s">
        <v>134</v>
      </c>
    </row>
    <row r="7" spans="1:3" x14ac:dyDescent="0.3">
      <c r="A7">
        <v>6</v>
      </c>
      <c r="B7" s="15" t="s">
        <v>135</v>
      </c>
    </row>
    <row r="8" spans="1:3" x14ac:dyDescent="0.3">
      <c r="A8">
        <v>7</v>
      </c>
      <c r="B8" s="15" t="s">
        <v>136</v>
      </c>
    </row>
    <row r="9" spans="1:3" x14ac:dyDescent="0.3">
      <c r="A9">
        <v>8</v>
      </c>
      <c r="B9" s="15" t="s">
        <v>137</v>
      </c>
    </row>
    <row r="10" spans="1:3" x14ac:dyDescent="0.3">
      <c r="A10">
        <v>9</v>
      </c>
      <c r="B10" s="15" t="s">
        <v>140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 filterMode="1">
    <tabColor rgb="FFFFFF00"/>
  </sheetPr>
  <dimension ref="A1:D421"/>
  <sheetViews>
    <sheetView workbookViewId="0">
      <selection activeCell="D11" sqref="D11"/>
    </sheetView>
  </sheetViews>
  <sheetFormatPr defaultRowHeight="14.4" x14ac:dyDescent="0.3"/>
  <cols>
    <col min="1" max="1" width="3.88671875" bestFit="1" customWidth="1"/>
    <col min="2" max="2" width="64.33203125" bestFit="1" customWidth="1"/>
    <col min="3" max="3" width="22.44140625" bestFit="1" customWidth="1"/>
    <col min="4" max="4" width="122.8867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  <c r="D1" s="9" t="s">
        <v>109</v>
      </c>
    </row>
    <row r="2" spans="1:4" hidden="1" x14ac:dyDescent="0.3">
      <c r="A2">
        <v>1</v>
      </c>
      <c r="B2" t="s">
        <v>455</v>
      </c>
      <c r="C2" t="s">
        <v>456</v>
      </c>
      <c r="D2" t="s">
        <v>457</v>
      </c>
    </row>
    <row r="3" spans="1:4" hidden="1" x14ac:dyDescent="0.3">
      <c r="A3">
        <v>2</v>
      </c>
      <c r="B3" t="s">
        <v>455</v>
      </c>
      <c r="C3" t="s">
        <v>122</v>
      </c>
      <c r="D3" t="s">
        <v>458</v>
      </c>
    </row>
    <row r="4" spans="1:4" hidden="1" x14ac:dyDescent="0.3">
      <c r="A4">
        <v>3</v>
      </c>
      <c r="B4" t="s">
        <v>455</v>
      </c>
      <c r="C4" t="s">
        <v>459</v>
      </c>
      <c r="D4" t="s">
        <v>460</v>
      </c>
    </row>
    <row r="5" spans="1:4" hidden="1" x14ac:dyDescent="0.3">
      <c r="A5">
        <v>4</v>
      </c>
      <c r="B5" t="s">
        <v>455</v>
      </c>
      <c r="C5" t="s">
        <v>461</v>
      </c>
      <c r="D5" t="s">
        <v>462</v>
      </c>
    </row>
    <row r="6" spans="1:4" hidden="1" x14ac:dyDescent="0.3">
      <c r="A6">
        <v>5</v>
      </c>
      <c r="B6" t="s">
        <v>463</v>
      </c>
      <c r="C6" t="s">
        <v>197</v>
      </c>
      <c r="D6" t="s">
        <v>464</v>
      </c>
    </row>
    <row r="7" spans="1:4" hidden="1" x14ac:dyDescent="0.3">
      <c r="A7">
        <v>6</v>
      </c>
      <c r="B7" t="s">
        <v>463</v>
      </c>
      <c r="C7" t="s">
        <v>465</v>
      </c>
      <c r="D7" t="s">
        <v>466</v>
      </c>
    </row>
    <row r="8" spans="1:4" hidden="1" x14ac:dyDescent="0.3">
      <c r="A8">
        <v>7</v>
      </c>
      <c r="B8" t="s">
        <v>463</v>
      </c>
      <c r="C8" t="s">
        <v>198</v>
      </c>
      <c r="D8" t="s">
        <v>467</v>
      </c>
    </row>
    <row r="9" spans="1:4" hidden="1" x14ac:dyDescent="0.3">
      <c r="A9">
        <v>8</v>
      </c>
      <c r="B9" t="s">
        <v>463</v>
      </c>
      <c r="C9" t="s">
        <v>468</v>
      </c>
      <c r="D9" t="s">
        <v>469</v>
      </c>
    </row>
    <row r="10" spans="1:4" x14ac:dyDescent="0.3">
      <c r="A10">
        <v>9</v>
      </c>
      <c r="B10" t="s">
        <v>470</v>
      </c>
      <c r="C10" t="s">
        <v>174</v>
      </c>
      <c r="D10" t="s">
        <v>471</v>
      </c>
    </row>
    <row r="11" spans="1:4" x14ac:dyDescent="0.3">
      <c r="A11">
        <v>10</v>
      </c>
      <c r="B11" t="s">
        <v>470</v>
      </c>
      <c r="C11" t="s">
        <v>472</v>
      </c>
      <c r="D11" t="s">
        <v>473</v>
      </c>
    </row>
    <row r="12" spans="1:4" x14ac:dyDescent="0.3">
      <c r="A12">
        <v>11</v>
      </c>
      <c r="B12" t="s">
        <v>470</v>
      </c>
      <c r="C12" t="s">
        <v>175</v>
      </c>
      <c r="D12" t="s">
        <v>474</v>
      </c>
    </row>
    <row r="13" spans="1:4" x14ac:dyDescent="0.3">
      <c r="A13">
        <v>12</v>
      </c>
      <c r="B13" t="s">
        <v>470</v>
      </c>
      <c r="C13" t="s">
        <v>176</v>
      </c>
      <c r="D13" t="s">
        <v>475</v>
      </c>
    </row>
    <row r="14" spans="1:4" x14ac:dyDescent="0.3">
      <c r="A14">
        <v>13</v>
      </c>
      <c r="B14" t="s">
        <v>470</v>
      </c>
      <c r="C14" t="s">
        <v>187</v>
      </c>
      <c r="D14" t="s">
        <v>476</v>
      </c>
    </row>
    <row r="15" spans="1:4" x14ac:dyDescent="0.3">
      <c r="A15">
        <v>14</v>
      </c>
      <c r="B15" t="s">
        <v>470</v>
      </c>
      <c r="C15" t="s">
        <v>177</v>
      </c>
      <c r="D15" t="s">
        <v>477</v>
      </c>
    </row>
    <row r="16" spans="1:4" x14ac:dyDescent="0.3">
      <c r="A16">
        <v>15</v>
      </c>
      <c r="B16" t="s">
        <v>470</v>
      </c>
      <c r="C16" t="s">
        <v>188</v>
      </c>
      <c r="D16" t="s">
        <v>478</v>
      </c>
    </row>
    <row r="17" spans="1:4" x14ac:dyDescent="0.3">
      <c r="A17">
        <v>16</v>
      </c>
      <c r="B17" t="s">
        <v>470</v>
      </c>
      <c r="C17" t="s">
        <v>178</v>
      </c>
      <c r="D17" t="s">
        <v>479</v>
      </c>
    </row>
    <row r="18" spans="1:4" x14ac:dyDescent="0.3">
      <c r="A18">
        <v>17</v>
      </c>
      <c r="B18" t="s">
        <v>470</v>
      </c>
      <c r="C18" t="s">
        <v>179</v>
      </c>
      <c r="D18" t="s">
        <v>480</v>
      </c>
    </row>
    <row r="19" spans="1:4" x14ac:dyDescent="0.3">
      <c r="A19">
        <v>18</v>
      </c>
      <c r="B19" t="s">
        <v>470</v>
      </c>
      <c r="C19" t="s">
        <v>120</v>
      </c>
      <c r="D19" t="s">
        <v>481</v>
      </c>
    </row>
    <row r="20" spans="1:4" x14ac:dyDescent="0.3">
      <c r="A20">
        <v>19</v>
      </c>
      <c r="B20" t="s">
        <v>470</v>
      </c>
      <c r="C20" t="s">
        <v>180</v>
      </c>
      <c r="D20" t="s">
        <v>482</v>
      </c>
    </row>
    <row r="21" spans="1:4" x14ac:dyDescent="0.3">
      <c r="A21">
        <v>20</v>
      </c>
      <c r="B21" t="s">
        <v>470</v>
      </c>
      <c r="C21" t="s">
        <v>181</v>
      </c>
      <c r="D21" t="s">
        <v>483</v>
      </c>
    </row>
    <row r="22" spans="1:4" x14ac:dyDescent="0.3">
      <c r="A22">
        <v>21</v>
      </c>
      <c r="B22" t="s">
        <v>470</v>
      </c>
      <c r="C22" t="s">
        <v>182</v>
      </c>
      <c r="D22" t="s">
        <v>484</v>
      </c>
    </row>
    <row r="23" spans="1:4" x14ac:dyDescent="0.3">
      <c r="A23">
        <v>22</v>
      </c>
      <c r="B23" t="s">
        <v>470</v>
      </c>
      <c r="C23" t="s">
        <v>183</v>
      </c>
      <c r="D23" t="s">
        <v>485</v>
      </c>
    </row>
    <row r="24" spans="1:4" hidden="1" x14ac:dyDescent="0.3">
      <c r="A24">
        <v>23</v>
      </c>
      <c r="B24" t="s">
        <v>486</v>
      </c>
      <c r="C24" t="s">
        <v>185</v>
      </c>
      <c r="D24" t="s">
        <v>487</v>
      </c>
    </row>
    <row r="25" spans="1:4" hidden="1" x14ac:dyDescent="0.3">
      <c r="A25">
        <v>24</v>
      </c>
      <c r="B25" t="s">
        <v>488</v>
      </c>
      <c r="C25" t="s">
        <v>206</v>
      </c>
      <c r="D25" t="s">
        <v>489</v>
      </c>
    </row>
    <row r="26" spans="1:4" hidden="1" x14ac:dyDescent="0.3">
      <c r="A26">
        <v>25</v>
      </c>
      <c r="B26" t="s">
        <v>488</v>
      </c>
      <c r="C26" t="s">
        <v>209</v>
      </c>
      <c r="D26" t="s">
        <v>490</v>
      </c>
    </row>
    <row r="27" spans="1:4" hidden="1" x14ac:dyDescent="0.3">
      <c r="A27">
        <v>26</v>
      </c>
      <c r="B27" t="s">
        <v>488</v>
      </c>
      <c r="C27" t="s">
        <v>210</v>
      </c>
      <c r="D27" t="s">
        <v>491</v>
      </c>
    </row>
    <row r="28" spans="1:4" hidden="1" x14ac:dyDescent="0.3">
      <c r="A28">
        <v>27</v>
      </c>
      <c r="B28" t="s">
        <v>488</v>
      </c>
      <c r="C28" t="s">
        <v>186</v>
      </c>
      <c r="D28" t="s">
        <v>492</v>
      </c>
    </row>
    <row r="29" spans="1:4" hidden="1" x14ac:dyDescent="0.3">
      <c r="A29">
        <v>28</v>
      </c>
      <c r="B29" t="s">
        <v>488</v>
      </c>
      <c r="C29" t="s">
        <v>211</v>
      </c>
      <c r="D29" t="s">
        <v>493</v>
      </c>
    </row>
    <row r="30" spans="1:4" hidden="1" x14ac:dyDescent="0.3">
      <c r="A30">
        <v>29</v>
      </c>
      <c r="B30" t="s">
        <v>494</v>
      </c>
      <c r="C30" t="s">
        <v>212</v>
      </c>
      <c r="D30" t="s">
        <v>495</v>
      </c>
    </row>
    <row r="31" spans="1:4" hidden="1" x14ac:dyDescent="0.3">
      <c r="A31">
        <v>30</v>
      </c>
      <c r="B31" t="s">
        <v>494</v>
      </c>
      <c r="C31" t="s">
        <v>213</v>
      </c>
      <c r="D31" t="s">
        <v>496</v>
      </c>
    </row>
    <row r="32" spans="1:4" hidden="1" x14ac:dyDescent="0.3">
      <c r="A32">
        <v>31</v>
      </c>
      <c r="B32" t="s">
        <v>494</v>
      </c>
      <c r="C32" t="s">
        <v>214</v>
      </c>
      <c r="D32" t="s">
        <v>497</v>
      </c>
    </row>
    <row r="33" spans="1:4" hidden="1" x14ac:dyDescent="0.3">
      <c r="A33">
        <v>32</v>
      </c>
      <c r="B33" t="s">
        <v>494</v>
      </c>
      <c r="C33" t="s">
        <v>215</v>
      </c>
      <c r="D33" t="s">
        <v>498</v>
      </c>
    </row>
    <row r="34" spans="1:4" hidden="1" x14ac:dyDescent="0.3">
      <c r="A34">
        <v>33</v>
      </c>
      <c r="B34" t="s">
        <v>494</v>
      </c>
      <c r="C34" t="s">
        <v>216</v>
      </c>
      <c r="D34" t="s">
        <v>499</v>
      </c>
    </row>
    <row r="35" spans="1:4" hidden="1" x14ac:dyDescent="0.3">
      <c r="A35">
        <v>34</v>
      </c>
      <c r="B35" t="s">
        <v>500</v>
      </c>
      <c r="C35" t="s">
        <v>208</v>
      </c>
      <c r="D35" t="s">
        <v>501</v>
      </c>
    </row>
    <row r="36" spans="1:4" hidden="1" x14ac:dyDescent="0.3">
      <c r="A36">
        <v>35</v>
      </c>
      <c r="B36" t="s">
        <v>500</v>
      </c>
      <c r="C36" t="s">
        <v>502</v>
      </c>
      <c r="D36" t="s">
        <v>503</v>
      </c>
    </row>
    <row r="37" spans="1:4" hidden="1" x14ac:dyDescent="0.3">
      <c r="A37">
        <v>36</v>
      </c>
      <c r="B37" t="s">
        <v>504</v>
      </c>
      <c r="C37" t="s">
        <v>217</v>
      </c>
      <c r="D37" t="s">
        <v>505</v>
      </c>
    </row>
    <row r="38" spans="1:4" hidden="1" x14ac:dyDescent="0.3">
      <c r="A38">
        <v>37</v>
      </c>
      <c r="B38" t="s">
        <v>506</v>
      </c>
      <c r="C38" t="s">
        <v>218</v>
      </c>
      <c r="D38" t="s">
        <v>507</v>
      </c>
    </row>
    <row r="39" spans="1:4" hidden="1" x14ac:dyDescent="0.3">
      <c r="A39">
        <v>38</v>
      </c>
      <c r="B39" t="s">
        <v>506</v>
      </c>
      <c r="C39" t="s">
        <v>219</v>
      </c>
      <c r="D39" t="s">
        <v>508</v>
      </c>
    </row>
    <row r="40" spans="1:4" hidden="1" x14ac:dyDescent="0.3">
      <c r="A40">
        <v>39</v>
      </c>
      <c r="B40" t="s">
        <v>506</v>
      </c>
      <c r="C40" t="s">
        <v>220</v>
      </c>
      <c r="D40" t="s">
        <v>509</v>
      </c>
    </row>
    <row r="41" spans="1:4" hidden="1" x14ac:dyDescent="0.3">
      <c r="A41">
        <v>40</v>
      </c>
      <c r="B41" t="s">
        <v>506</v>
      </c>
      <c r="C41" t="s">
        <v>221</v>
      </c>
      <c r="D41" t="s">
        <v>510</v>
      </c>
    </row>
    <row r="42" spans="1:4" hidden="1" x14ac:dyDescent="0.3">
      <c r="A42">
        <v>41</v>
      </c>
      <c r="B42" t="s">
        <v>506</v>
      </c>
      <c r="C42" t="s">
        <v>222</v>
      </c>
      <c r="D42" t="s">
        <v>511</v>
      </c>
    </row>
    <row r="43" spans="1:4" hidden="1" x14ac:dyDescent="0.3">
      <c r="A43">
        <v>42</v>
      </c>
      <c r="B43" t="s">
        <v>506</v>
      </c>
      <c r="C43" t="s">
        <v>223</v>
      </c>
      <c r="D43" t="s">
        <v>512</v>
      </c>
    </row>
    <row r="44" spans="1:4" hidden="1" x14ac:dyDescent="0.3">
      <c r="A44">
        <v>43</v>
      </c>
      <c r="B44" t="s">
        <v>506</v>
      </c>
      <c r="C44" t="s">
        <v>224</v>
      </c>
      <c r="D44" t="s">
        <v>513</v>
      </c>
    </row>
    <row r="45" spans="1:4" hidden="1" x14ac:dyDescent="0.3">
      <c r="A45">
        <v>44</v>
      </c>
      <c r="B45" t="s">
        <v>506</v>
      </c>
      <c r="C45" t="s">
        <v>225</v>
      </c>
      <c r="D45" t="s">
        <v>514</v>
      </c>
    </row>
    <row r="46" spans="1:4" hidden="1" x14ac:dyDescent="0.3">
      <c r="A46">
        <v>45</v>
      </c>
      <c r="B46" t="s">
        <v>506</v>
      </c>
      <c r="C46" t="s">
        <v>226</v>
      </c>
      <c r="D46" t="s">
        <v>515</v>
      </c>
    </row>
    <row r="47" spans="1:4" hidden="1" x14ac:dyDescent="0.3">
      <c r="A47">
        <v>46</v>
      </c>
      <c r="B47" t="s">
        <v>506</v>
      </c>
      <c r="C47" t="s">
        <v>227</v>
      </c>
      <c r="D47" t="s">
        <v>516</v>
      </c>
    </row>
    <row r="48" spans="1:4" hidden="1" x14ac:dyDescent="0.3">
      <c r="A48">
        <v>47</v>
      </c>
      <c r="B48" t="s">
        <v>506</v>
      </c>
      <c r="C48" t="s">
        <v>228</v>
      </c>
      <c r="D48" t="s">
        <v>517</v>
      </c>
    </row>
    <row r="49" spans="1:4" hidden="1" x14ac:dyDescent="0.3">
      <c r="A49">
        <v>48</v>
      </c>
      <c r="B49" t="s">
        <v>506</v>
      </c>
      <c r="C49" t="s">
        <v>229</v>
      </c>
      <c r="D49" t="s">
        <v>518</v>
      </c>
    </row>
    <row r="50" spans="1:4" hidden="1" x14ac:dyDescent="0.3">
      <c r="A50">
        <v>49</v>
      </c>
      <c r="B50" t="s">
        <v>506</v>
      </c>
      <c r="C50" t="s">
        <v>230</v>
      </c>
      <c r="D50" t="s">
        <v>519</v>
      </c>
    </row>
    <row r="51" spans="1:4" hidden="1" x14ac:dyDescent="0.3">
      <c r="A51">
        <v>50</v>
      </c>
      <c r="B51" t="s">
        <v>506</v>
      </c>
      <c r="C51" t="s">
        <v>231</v>
      </c>
      <c r="D51" t="s">
        <v>520</v>
      </c>
    </row>
    <row r="52" spans="1:4" hidden="1" x14ac:dyDescent="0.3">
      <c r="A52">
        <v>51</v>
      </c>
      <c r="B52" t="s">
        <v>506</v>
      </c>
      <c r="C52" t="s">
        <v>232</v>
      </c>
      <c r="D52" t="s">
        <v>521</v>
      </c>
    </row>
    <row r="53" spans="1:4" hidden="1" x14ac:dyDescent="0.3">
      <c r="A53">
        <v>52</v>
      </c>
      <c r="B53" t="s">
        <v>506</v>
      </c>
      <c r="C53" t="s">
        <v>233</v>
      </c>
      <c r="D53" t="s">
        <v>522</v>
      </c>
    </row>
    <row r="54" spans="1:4" hidden="1" x14ac:dyDescent="0.3">
      <c r="A54">
        <v>53</v>
      </c>
      <c r="B54" t="s">
        <v>506</v>
      </c>
      <c r="C54" t="s">
        <v>234</v>
      </c>
      <c r="D54" t="s">
        <v>523</v>
      </c>
    </row>
    <row r="55" spans="1:4" hidden="1" x14ac:dyDescent="0.3">
      <c r="A55">
        <v>54</v>
      </c>
      <c r="B55" t="s">
        <v>506</v>
      </c>
      <c r="C55" t="s">
        <v>235</v>
      </c>
      <c r="D55" t="s">
        <v>524</v>
      </c>
    </row>
    <row r="56" spans="1:4" hidden="1" x14ac:dyDescent="0.3">
      <c r="A56">
        <v>55</v>
      </c>
      <c r="B56" t="s">
        <v>506</v>
      </c>
      <c r="C56" t="s">
        <v>236</v>
      </c>
      <c r="D56" t="s">
        <v>525</v>
      </c>
    </row>
    <row r="57" spans="1:4" hidden="1" x14ac:dyDescent="0.3">
      <c r="A57">
        <v>56</v>
      </c>
      <c r="B57" t="s">
        <v>506</v>
      </c>
      <c r="C57" t="s">
        <v>237</v>
      </c>
      <c r="D57" t="s">
        <v>526</v>
      </c>
    </row>
    <row r="58" spans="1:4" hidden="1" x14ac:dyDescent="0.3">
      <c r="A58">
        <v>57</v>
      </c>
      <c r="B58" t="s">
        <v>506</v>
      </c>
      <c r="C58" t="s">
        <v>238</v>
      </c>
      <c r="D58" t="s">
        <v>527</v>
      </c>
    </row>
    <row r="59" spans="1:4" hidden="1" x14ac:dyDescent="0.3">
      <c r="A59">
        <v>58</v>
      </c>
      <c r="B59" t="s">
        <v>506</v>
      </c>
      <c r="C59" t="s">
        <v>239</v>
      </c>
      <c r="D59" t="s">
        <v>528</v>
      </c>
    </row>
    <row r="60" spans="1:4" hidden="1" x14ac:dyDescent="0.3">
      <c r="A60">
        <v>59</v>
      </c>
      <c r="B60" t="s">
        <v>506</v>
      </c>
      <c r="C60" t="s">
        <v>240</v>
      </c>
      <c r="D60" t="s">
        <v>529</v>
      </c>
    </row>
    <row r="61" spans="1:4" hidden="1" x14ac:dyDescent="0.3">
      <c r="A61">
        <v>60</v>
      </c>
      <c r="B61" t="s">
        <v>506</v>
      </c>
      <c r="C61" t="s">
        <v>241</v>
      </c>
      <c r="D61" t="s">
        <v>530</v>
      </c>
    </row>
    <row r="62" spans="1:4" hidden="1" x14ac:dyDescent="0.3">
      <c r="A62">
        <v>61</v>
      </c>
      <c r="B62" t="s">
        <v>506</v>
      </c>
      <c r="C62" t="s">
        <v>242</v>
      </c>
      <c r="D62" t="s">
        <v>531</v>
      </c>
    </row>
    <row r="63" spans="1:4" hidden="1" x14ac:dyDescent="0.3">
      <c r="A63">
        <v>62</v>
      </c>
      <c r="B63" t="s">
        <v>506</v>
      </c>
      <c r="C63" t="s">
        <v>243</v>
      </c>
      <c r="D63" t="s">
        <v>532</v>
      </c>
    </row>
    <row r="64" spans="1:4" hidden="1" x14ac:dyDescent="0.3">
      <c r="A64">
        <v>63</v>
      </c>
      <c r="B64" t="s">
        <v>506</v>
      </c>
      <c r="C64" t="s">
        <v>244</v>
      </c>
      <c r="D64" t="s">
        <v>533</v>
      </c>
    </row>
    <row r="65" spans="1:4" hidden="1" x14ac:dyDescent="0.3">
      <c r="A65">
        <v>64</v>
      </c>
      <c r="B65" t="s">
        <v>506</v>
      </c>
      <c r="C65" t="s">
        <v>245</v>
      </c>
      <c r="D65" t="s">
        <v>534</v>
      </c>
    </row>
    <row r="66" spans="1:4" hidden="1" x14ac:dyDescent="0.3">
      <c r="A66">
        <v>65</v>
      </c>
      <c r="B66" t="s">
        <v>506</v>
      </c>
      <c r="C66" t="s">
        <v>246</v>
      </c>
      <c r="D66" t="s">
        <v>535</v>
      </c>
    </row>
    <row r="67" spans="1:4" hidden="1" x14ac:dyDescent="0.3">
      <c r="A67">
        <v>66</v>
      </c>
      <c r="B67" t="s">
        <v>506</v>
      </c>
      <c r="C67" t="s">
        <v>247</v>
      </c>
      <c r="D67" t="s">
        <v>536</v>
      </c>
    </row>
    <row r="68" spans="1:4" hidden="1" x14ac:dyDescent="0.3">
      <c r="A68">
        <v>67</v>
      </c>
      <c r="B68" t="s">
        <v>506</v>
      </c>
      <c r="C68" t="s">
        <v>248</v>
      </c>
      <c r="D68" t="s">
        <v>537</v>
      </c>
    </row>
    <row r="69" spans="1:4" hidden="1" x14ac:dyDescent="0.3">
      <c r="A69">
        <v>68</v>
      </c>
      <c r="B69" t="s">
        <v>506</v>
      </c>
      <c r="C69" t="s">
        <v>249</v>
      </c>
      <c r="D69" t="s">
        <v>538</v>
      </c>
    </row>
    <row r="70" spans="1:4" hidden="1" x14ac:dyDescent="0.3">
      <c r="A70">
        <v>69</v>
      </c>
      <c r="B70" t="s">
        <v>506</v>
      </c>
      <c r="C70" t="s">
        <v>250</v>
      </c>
      <c r="D70" t="s">
        <v>539</v>
      </c>
    </row>
    <row r="71" spans="1:4" hidden="1" x14ac:dyDescent="0.3">
      <c r="A71">
        <v>70</v>
      </c>
      <c r="B71" t="s">
        <v>506</v>
      </c>
      <c r="C71" t="s">
        <v>251</v>
      </c>
      <c r="D71" t="s">
        <v>540</v>
      </c>
    </row>
    <row r="72" spans="1:4" hidden="1" x14ac:dyDescent="0.3">
      <c r="A72">
        <v>71</v>
      </c>
      <c r="B72" t="s">
        <v>506</v>
      </c>
      <c r="C72" t="s">
        <v>252</v>
      </c>
      <c r="D72" t="s">
        <v>541</v>
      </c>
    </row>
    <row r="73" spans="1:4" hidden="1" x14ac:dyDescent="0.3">
      <c r="A73">
        <v>72</v>
      </c>
      <c r="B73" t="s">
        <v>506</v>
      </c>
      <c r="C73" t="s">
        <v>253</v>
      </c>
      <c r="D73" t="s">
        <v>542</v>
      </c>
    </row>
    <row r="74" spans="1:4" hidden="1" x14ac:dyDescent="0.3">
      <c r="A74">
        <v>73</v>
      </c>
      <c r="B74" t="s">
        <v>506</v>
      </c>
      <c r="C74" t="s">
        <v>254</v>
      </c>
      <c r="D74" t="s">
        <v>543</v>
      </c>
    </row>
    <row r="75" spans="1:4" hidden="1" x14ac:dyDescent="0.3">
      <c r="A75">
        <v>74</v>
      </c>
      <c r="B75" t="s">
        <v>506</v>
      </c>
      <c r="C75" t="s">
        <v>255</v>
      </c>
      <c r="D75" t="s">
        <v>544</v>
      </c>
    </row>
    <row r="76" spans="1:4" hidden="1" x14ac:dyDescent="0.3">
      <c r="A76">
        <v>75</v>
      </c>
      <c r="B76" t="s">
        <v>506</v>
      </c>
      <c r="C76" t="s">
        <v>256</v>
      </c>
      <c r="D76" t="s">
        <v>545</v>
      </c>
    </row>
    <row r="77" spans="1:4" hidden="1" x14ac:dyDescent="0.3">
      <c r="A77">
        <v>76</v>
      </c>
      <c r="B77" t="s">
        <v>506</v>
      </c>
      <c r="C77" t="s">
        <v>257</v>
      </c>
      <c r="D77" t="s">
        <v>546</v>
      </c>
    </row>
    <row r="78" spans="1:4" hidden="1" x14ac:dyDescent="0.3">
      <c r="A78">
        <v>77</v>
      </c>
      <c r="B78" t="s">
        <v>506</v>
      </c>
      <c r="C78" t="s">
        <v>258</v>
      </c>
      <c r="D78" t="s">
        <v>547</v>
      </c>
    </row>
    <row r="79" spans="1:4" hidden="1" x14ac:dyDescent="0.3">
      <c r="A79">
        <v>78</v>
      </c>
      <c r="B79" t="s">
        <v>506</v>
      </c>
      <c r="C79" t="s">
        <v>259</v>
      </c>
      <c r="D79" t="s">
        <v>548</v>
      </c>
    </row>
    <row r="80" spans="1:4" hidden="1" x14ac:dyDescent="0.3">
      <c r="A80">
        <v>79</v>
      </c>
      <c r="B80" t="s">
        <v>506</v>
      </c>
      <c r="C80" t="s">
        <v>260</v>
      </c>
      <c r="D80" t="s">
        <v>549</v>
      </c>
    </row>
    <row r="81" spans="1:4" hidden="1" x14ac:dyDescent="0.3">
      <c r="A81">
        <v>80</v>
      </c>
      <c r="B81" t="s">
        <v>506</v>
      </c>
      <c r="C81" t="s">
        <v>261</v>
      </c>
      <c r="D81" t="s">
        <v>550</v>
      </c>
    </row>
    <row r="82" spans="1:4" hidden="1" x14ac:dyDescent="0.3">
      <c r="A82">
        <v>81</v>
      </c>
      <c r="B82" t="s">
        <v>506</v>
      </c>
      <c r="C82" t="s">
        <v>262</v>
      </c>
      <c r="D82" t="s">
        <v>551</v>
      </c>
    </row>
    <row r="83" spans="1:4" hidden="1" x14ac:dyDescent="0.3">
      <c r="A83">
        <v>82</v>
      </c>
      <c r="B83" t="s">
        <v>506</v>
      </c>
      <c r="C83" t="s">
        <v>263</v>
      </c>
      <c r="D83" t="s">
        <v>552</v>
      </c>
    </row>
    <row r="84" spans="1:4" hidden="1" x14ac:dyDescent="0.3">
      <c r="A84">
        <v>83</v>
      </c>
      <c r="B84" t="s">
        <v>553</v>
      </c>
      <c r="C84" t="s">
        <v>554</v>
      </c>
      <c r="D84" t="s">
        <v>555</v>
      </c>
    </row>
    <row r="85" spans="1:4" hidden="1" x14ac:dyDescent="0.3">
      <c r="A85">
        <v>84</v>
      </c>
      <c r="B85" t="s">
        <v>553</v>
      </c>
      <c r="C85" t="s">
        <v>207</v>
      </c>
      <c r="D85" t="s">
        <v>556</v>
      </c>
    </row>
    <row r="86" spans="1:4" hidden="1" x14ac:dyDescent="0.3">
      <c r="A86">
        <v>85</v>
      </c>
      <c r="B86" t="s">
        <v>557</v>
      </c>
      <c r="C86" t="s">
        <v>296</v>
      </c>
      <c r="D86" t="s">
        <v>558</v>
      </c>
    </row>
    <row r="87" spans="1:4" hidden="1" x14ac:dyDescent="0.3">
      <c r="A87">
        <v>86</v>
      </c>
      <c r="B87" t="s">
        <v>559</v>
      </c>
      <c r="C87" t="s">
        <v>264</v>
      </c>
      <c r="D87" t="s">
        <v>560</v>
      </c>
    </row>
    <row r="88" spans="1:4" hidden="1" x14ac:dyDescent="0.3">
      <c r="A88">
        <v>87</v>
      </c>
      <c r="B88" t="s">
        <v>559</v>
      </c>
      <c r="C88" t="s">
        <v>265</v>
      </c>
      <c r="D88" t="s">
        <v>561</v>
      </c>
    </row>
    <row r="89" spans="1:4" hidden="1" x14ac:dyDescent="0.3">
      <c r="A89">
        <v>88</v>
      </c>
      <c r="B89" t="s">
        <v>559</v>
      </c>
      <c r="C89" t="s">
        <v>266</v>
      </c>
      <c r="D89" t="s">
        <v>562</v>
      </c>
    </row>
    <row r="90" spans="1:4" hidden="1" x14ac:dyDescent="0.3">
      <c r="A90">
        <v>89</v>
      </c>
      <c r="B90" t="s">
        <v>559</v>
      </c>
      <c r="C90" t="s">
        <v>267</v>
      </c>
      <c r="D90" t="s">
        <v>563</v>
      </c>
    </row>
    <row r="91" spans="1:4" hidden="1" x14ac:dyDescent="0.3">
      <c r="A91">
        <v>90</v>
      </c>
      <c r="B91" t="s">
        <v>559</v>
      </c>
      <c r="C91" t="s">
        <v>268</v>
      </c>
      <c r="D91" t="s">
        <v>564</v>
      </c>
    </row>
    <row r="92" spans="1:4" hidden="1" x14ac:dyDescent="0.3">
      <c r="A92">
        <v>91</v>
      </c>
      <c r="B92" t="s">
        <v>559</v>
      </c>
      <c r="C92" t="s">
        <v>269</v>
      </c>
      <c r="D92" t="s">
        <v>565</v>
      </c>
    </row>
    <row r="93" spans="1:4" hidden="1" x14ac:dyDescent="0.3">
      <c r="A93">
        <v>92</v>
      </c>
      <c r="B93" t="s">
        <v>559</v>
      </c>
      <c r="C93" t="s">
        <v>270</v>
      </c>
      <c r="D93" t="s">
        <v>566</v>
      </c>
    </row>
    <row r="94" spans="1:4" hidden="1" x14ac:dyDescent="0.3">
      <c r="A94">
        <v>93</v>
      </c>
      <c r="B94" t="s">
        <v>559</v>
      </c>
      <c r="C94" t="s">
        <v>271</v>
      </c>
      <c r="D94" t="s">
        <v>567</v>
      </c>
    </row>
    <row r="95" spans="1:4" hidden="1" x14ac:dyDescent="0.3">
      <c r="A95">
        <v>94</v>
      </c>
      <c r="B95" t="s">
        <v>559</v>
      </c>
      <c r="C95" t="s">
        <v>272</v>
      </c>
      <c r="D95" t="s">
        <v>568</v>
      </c>
    </row>
    <row r="96" spans="1:4" hidden="1" x14ac:dyDescent="0.3">
      <c r="A96">
        <v>95</v>
      </c>
      <c r="B96" t="s">
        <v>559</v>
      </c>
      <c r="C96" t="s">
        <v>273</v>
      </c>
      <c r="D96" t="s">
        <v>569</v>
      </c>
    </row>
    <row r="97" spans="1:4" hidden="1" x14ac:dyDescent="0.3">
      <c r="A97">
        <v>96</v>
      </c>
      <c r="B97" t="s">
        <v>559</v>
      </c>
      <c r="C97" t="s">
        <v>274</v>
      </c>
      <c r="D97" t="s">
        <v>570</v>
      </c>
    </row>
    <row r="98" spans="1:4" hidden="1" x14ac:dyDescent="0.3">
      <c r="A98">
        <v>97</v>
      </c>
      <c r="B98" t="s">
        <v>559</v>
      </c>
      <c r="C98" t="s">
        <v>275</v>
      </c>
      <c r="D98" t="s">
        <v>571</v>
      </c>
    </row>
    <row r="99" spans="1:4" hidden="1" x14ac:dyDescent="0.3">
      <c r="A99">
        <v>98</v>
      </c>
      <c r="B99" t="s">
        <v>559</v>
      </c>
      <c r="C99" t="s">
        <v>276</v>
      </c>
      <c r="D99" t="s">
        <v>572</v>
      </c>
    </row>
    <row r="100" spans="1:4" hidden="1" x14ac:dyDescent="0.3">
      <c r="A100">
        <v>99</v>
      </c>
      <c r="B100" t="s">
        <v>559</v>
      </c>
      <c r="C100" t="s">
        <v>277</v>
      </c>
      <c r="D100" t="s">
        <v>573</v>
      </c>
    </row>
    <row r="101" spans="1:4" hidden="1" x14ac:dyDescent="0.3">
      <c r="A101">
        <v>100</v>
      </c>
      <c r="B101" t="s">
        <v>559</v>
      </c>
      <c r="C101" t="s">
        <v>278</v>
      </c>
      <c r="D101" t="s">
        <v>574</v>
      </c>
    </row>
    <row r="102" spans="1:4" hidden="1" x14ac:dyDescent="0.3">
      <c r="A102">
        <v>101</v>
      </c>
      <c r="B102" t="s">
        <v>559</v>
      </c>
      <c r="C102" t="s">
        <v>279</v>
      </c>
      <c r="D102" t="s">
        <v>575</v>
      </c>
    </row>
    <row r="103" spans="1:4" hidden="1" x14ac:dyDescent="0.3">
      <c r="A103">
        <v>102</v>
      </c>
      <c r="B103" t="s">
        <v>559</v>
      </c>
      <c r="C103" t="s">
        <v>280</v>
      </c>
      <c r="D103" t="s">
        <v>576</v>
      </c>
    </row>
    <row r="104" spans="1:4" hidden="1" x14ac:dyDescent="0.3">
      <c r="A104">
        <v>103</v>
      </c>
      <c r="B104" t="s">
        <v>559</v>
      </c>
      <c r="C104" t="s">
        <v>281</v>
      </c>
      <c r="D104" t="s">
        <v>577</v>
      </c>
    </row>
    <row r="105" spans="1:4" hidden="1" x14ac:dyDescent="0.3">
      <c r="A105">
        <v>104</v>
      </c>
      <c r="B105" t="s">
        <v>559</v>
      </c>
      <c r="C105" t="s">
        <v>282</v>
      </c>
      <c r="D105" t="s">
        <v>578</v>
      </c>
    </row>
    <row r="106" spans="1:4" hidden="1" x14ac:dyDescent="0.3">
      <c r="A106">
        <v>105</v>
      </c>
      <c r="B106" t="s">
        <v>559</v>
      </c>
      <c r="C106" t="s">
        <v>283</v>
      </c>
      <c r="D106" t="s">
        <v>579</v>
      </c>
    </row>
    <row r="107" spans="1:4" hidden="1" x14ac:dyDescent="0.3">
      <c r="A107">
        <v>106</v>
      </c>
      <c r="B107" t="s">
        <v>559</v>
      </c>
      <c r="C107" t="s">
        <v>284</v>
      </c>
      <c r="D107" t="s">
        <v>580</v>
      </c>
    </row>
    <row r="108" spans="1:4" hidden="1" x14ac:dyDescent="0.3">
      <c r="A108">
        <v>107</v>
      </c>
      <c r="B108" t="s">
        <v>559</v>
      </c>
      <c r="C108" t="s">
        <v>285</v>
      </c>
      <c r="D108" t="s">
        <v>581</v>
      </c>
    </row>
    <row r="109" spans="1:4" hidden="1" x14ac:dyDescent="0.3">
      <c r="A109">
        <v>108</v>
      </c>
      <c r="B109" t="s">
        <v>559</v>
      </c>
      <c r="C109" t="s">
        <v>286</v>
      </c>
      <c r="D109" t="s">
        <v>582</v>
      </c>
    </row>
    <row r="110" spans="1:4" hidden="1" x14ac:dyDescent="0.3">
      <c r="A110">
        <v>109</v>
      </c>
      <c r="B110" t="s">
        <v>559</v>
      </c>
      <c r="C110" t="s">
        <v>287</v>
      </c>
      <c r="D110" t="s">
        <v>583</v>
      </c>
    </row>
    <row r="111" spans="1:4" hidden="1" x14ac:dyDescent="0.3">
      <c r="A111">
        <v>110</v>
      </c>
      <c r="B111" t="s">
        <v>559</v>
      </c>
      <c r="C111" t="s">
        <v>288</v>
      </c>
      <c r="D111" t="s">
        <v>584</v>
      </c>
    </row>
    <row r="112" spans="1:4" hidden="1" x14ac:dyDescent="0.3">
      <c r="A112">
        <v>111</v>
      </c>
      <c r="B112" t="s">
        <v>559</v>
      </c>
      <c r="C112" t="s">
        <v>289</v>
      </c>
      <c r="D112" t="s">
        <v>585</v>
      </c>
    </row>
    <row r="113" spans="1:4" hidden="1" x14ac:dyDescent="0.3">
      <c r="A113">
        <v>112</v>
      </c>
      <c r="B113" t="s">
        <v>559</v>
      </c>
      <c r="C113" t="s">
        <v>290</v>
      </c>
      <c r="D113" t="s">
        <v>586</v>
      </c>
    </row>
    <row r="114" spans="1:4" hidden="1" x14ac:dyDescent="0.3">
      <c r="A114">
        <v>113</v>
      </c>
      <c r="B114" t="s">
        <v>559</v>
      </c>
      <c r="C114" t="s">
        <v>291</v>
      </c>
      <c r="D114" t="s">
        <v>587</v>
      </c>
    </row>
    <row r="115" spans="1:4" hidden="1" x14ac:dyDescent="0.3">
      <c r="A115">
        <v>114</v>
      </c>
      <c r="B115" t="s">
        <v>559</v>
      </c>
      <c r="C115" t="s">
        <v>292</v>
      </c>
      <c r="D115" t="s">
        <v>588</v>
      </c>
    </row>
    <row r="116" spans="1:4" hidden="1" x14ac:dyDescent="0.3">
      <c r="A116">
        <v>115</v>
      </c>
      <c r="B116" t="s">
        <v>559</v>
      </c>
      <c r="C116" t="s">
        <v>293</v>
      </c>
      <c r="D116" t="s">
        <v>589</v>
      </c>
    </row>
    <row r="117" spans="1:4" hidden="1" x14ac:dyDescent="0.3">
      <c r="A117">
        <v>116</v>
      </c>
      <c r="B117" t="s">
        <v>559</v>
      </c>
      <c r="C117" t="s">
        <v>294</v>
      </c>
      <c r="D117" t="s">
        <v>590</v>
      </c>
    </row>
    <row r="118" spans="1:4" hidden="1" x14ac:dyDescent="0.3">
      <c r="A118">
        <v>117</v>
      </c>
      <c r="B118" t="s">
        <v>559</v>
      </c>
      <c r="C118" t="s">
        <v>295</v>
      </c>
      <c r="D118" t="s">
        <v>591</v>
      </c>
    </row>
    <row r="119" spans="1:4" hidden="1" x14ac:dyDescent="0.3">
      <c r="A119">
        <v>118</v>
      </c>
      <c r="B119" t="s">
        <v>559</v>
      </c>
      <c r="C119" t="s">
        <v>297</v>
      </c>
      <c r="D119" t="s">
        <v>592</v>
      </c>
    </row>
    <row r="120" spans="1:4" hidden="1" x14ac:dyDescent="0.3">
      <c r="A120">
        <v>119</v>
      </c>
      <c r="B120" t="s">
        <v>559</v>
      </c>
      <c r="C120" t="s">
        <v>298</v>
      </c>
      <c r="D120" t="s">
        <v>593</v>
      </c>
    </row>
    <row r="121" spans="1:4" hidden="1" x14ac:dyDescent="0.3">
      <c r="A121">
        <v>120</v>
      </c>
      <c r="B121" t="s">
        <v>559</v>
      </c>
      <c r="C121" t="s">
        <v>299</v>
      </c>
      <c r="D121" t="s">
        <v>594</v>
      </c>
    </row>
    <row r="122" spans="1:4" hidden="1" x14ac:dyDescent="0.3">
      <c r="A122">
        <v>121</v>
      </c>
      <c r="B122" t="s">
        <v>559</v>
      </c>
      <c r="C122" t="s">
        <v>300</v>
      </c>
      <c r="D122" t="s">
        <v>595</v>
      </c>
    </row>
    <row r="123" spans="1:4" hidden="1" x14ac:dyDescent="0.3">
      <c r="A123">
        <v>122</v>
      </c>
      <c r="B123" t="s">
        <v>559</v>
      </c>
      <c r="C123" t="s">
        <v>301</v>
      </c>
      <c r="D123" t="s">
        <v>596</v>
      </c>
    </row>
    <row r="124" spans="1:4" hidden="1" x14ac:dyDescent="0.3">
      <c r="A124">
        <v>123</v>
      </c>
      <c r="B124" t="s">
        <v>559</v>
      </c>
      <c r="C124" t="s">
        <v>302</v>
      </c>
      <c r="D124" t="s">
        <v>597</v>
      </c>
    </row>
    <row r="125" spans="1:4" hidden="1" x14ac:dyDescent="0.3">
      <c r="A125">
        <v>124</v>
      </c>
      <c r="B125" t="s">
        <v>559</v>
      </c>
      <c r="C125" t="s">
        <v>303</v>
      </c>
      <c r="D125" t="s">
        <v>598</v>
      </c>
    </row>
    <row r="126" spans="1:4" hidden="1" x14ac:dyDescent="0.3">
      <c r="A126">
        <v>125</v>
      </c>
      <c r="B126" t="s">
        <v>559</v>
      </c>
      <c r="C126" t="s">
        <v>304</v>
      </c>
      <c r="D126" t="s">
        <v>599</v>
      </c>
    </row>
    <row r="127" spans="1:4" hidden="1" x14ac:dyDescent="0.3">
      <c r="A127">
        <v>126</v>
      </c>
      <c r="B127" t="s">
        <v>559</v>
      </c>
      <c r="C127" t="s">
        <v>305</v>
      </c>
      <c r="D127" t="s">
        <v>600</v>
      </c>
    </row>
    <row r="128" spans="1:4" hidden="1" x14ac:dyDescent="0.3">
      <c r="A128">
        <v>127</v>
      </c>
      <c r="B128" t="s">
        <v>559</v>
      </c>
      <c r="C128" t="s">
        <v>306</v>
      </c>
      <c r="D128" t="s">
        <v>601</v>
      </c>
    </row>
    <row r="129" spans="1:4" hidden="1" x14ac:dyDescent="0.3">
      <c r="A129">
        <v>128</v>
      </c>
      <c r="B129" t="s">
        <v>559</v>
      </c>
      <c r="C129" t="s">
        <v>307</v>
      </c>
      <c r="D129" t="s">
        <v>602</v>
      </c>
    </row>
    <row r="130" spans="1:4" hidden="1" x14ac:dyDescent="0.3">
      <c r="A130">
        <v>129</v>
      </c>
      <c r="B130" t="s">
        <v>559</v>
      </c>
      <c r="C130" t="s">
        <v>308</v>
      </c>
      <c r="D130" t="s">
        <v>603</v>
      </c>
    </row>
    <row r="131" spans="1:4" hidden="1" x14ac:dyDescent="0.3">
      <c r="A131">
        <v>130</v>
      </c>
      <c r="B131" t="s">
        <v>604</v>
      </c>
      <c r="C131" t="s">
        <v>605</v>
      </c>
      <c r="D131" t="s">
        <v>606</v>
      </c>
    </row>
    <row r="132" spans="1:4" hidden="1" x14ac:dyDescent="0.3">
      <c r="A132">
        <v>131</v>
      </c>
      <c r="B132" t="s">
        <v>607</v>
      </c>
      <c r="C132" t="s">
        <v>309</v>
      </c>
      <c r="D132" t="s">
        <v>608</v>
      </c>
    </row>
    <row r="133" spans="1:4" hidden="1" x14ac:dyDescent="0.3">
      <c r="A133">
        <v>132</v>
      </c>
      <c r="B133" t="s">
        <v>607</v>
      </c>
      <c r="C133" t="s">
        <v>310</v>
      </c>
      <c r="D133" t="s">
        <v>609</v>
      </c>
    </row>
    <row r="134" spans="1:4" hidden="1" x14ac:dyDescent="0.3">
      <c r="A134">
        <v>133</v>
      </c>
      <c r="B134" t="s">
        <v>610</v>
      </c>
      <c r="C134" t="s">
        <v>123</v>
      </c>
      <c r="D134" t="s">
        <v>611</v>
      </c>
    </row>
    <row r="135" spans="1:4" hidden="1" x14ac:dyDescent="0.3">
      <c r="A135">
        <v>134</v>
      </c>
      <c r="B135" t="s">
        <v>610</v>
      </c>
      <c r="C135" t="s">
        <v>311</v>
      </c>
      <c r="D135" t="s">
        <v>612</v>
      </c>
    </row>
    <row r="136" spans="1:4" hidden="1" x14ac:dyDescent="0.3">
      <c r="A136">
        <v>135</v>
      </c>
      <c r="B136" t="s">
        <v>610</v>
      </c>
      <c r="C136" t="s">
        <v>124</v>
      </c>
      <c r="D136" t="s">
        <v>613</v>
      </c>
    </row>
    <row r="137" spans="1:4" hidden="1" x14ac:dyDescent="0.3">
      <c r="A137">
        <v>136</v>
      </c>
      <c r="B137" t="s">
        <v>610</v>
      </c>
      <c r="C137" t="s">
        <v>312</v>
      </c>
      <c r="D137" t="s">
        <v>614</v>
      </c>
    </row>
    <row r="138" spans="1:4" hidden="1" x14ac:dyDescent="0.3">
      <c r="A138">
        <v>137</v>
      </c>
      <c r="B138" t="s">
        <v>610</v>
      </c>
      <c r="C138" t="s">
        <v>313</v>
      </c>
      <c r="D138" t="s">
        <v>615</v>
      </c>
    </row>
    <row r="139" spans="1:4" hidden="1" x14ac:dyDescent="0.3">
      <c r="A139">
        <v>138</v>
      </c>
      <c r="B139" t="s">
        <v>610</v>
      </c>
      <c r="C139" t="s">
        <v>314</v>
      </c>
      <c r="D139" t="s">
        <v>616</v>
      </c>
    </row>
    <row r="140" spans="1:4" hidden="1" x14ac:dyDescent="0.3">
      <c r="A140">
        <v>139</v>
      </c>
      <c r="B140" t="s">
        <v>610</v>
      </c>
      <c r="C140" t="s">
        <v>126</v>
      </c>
      <c r="D140" t="s">
        <v>617</v>
      </c>
    </row>
    <row r="141" spans="1:4" hidden="1" x14ac:dyDescent="0.3">
      <c r="A141">
        <v>140</v>
      </c>
      <c r="B141" t="s">
        <v>610</v>
      </c>
      <c r="C141" t="s">
        <v>315</v>
      </c>
      <c r="D141" t="s">
        <v>618</v>
      </c>
    </row>
    <row r="142" spans="1:4" hidden="1" x14ac:dyDescent="0.3">
      <c r="A142">
        <v>141</v>
      </c>
      <c r="B142" t="s">
        <v>610</v>
      </c>
      <c r="C142" t="s">
        <v>316</v>
      </c>
      <c r="D142" t="s">
        <v>619</v>
      </c>
    </row>
    <row r="143" spans="1:4" hidden="1" x14ac:dyDescent="0.3">
      <c r="A143">
        <v>142</v>
      </c>
      <c r="B143" t="s">
        <v>610</v>
      </c>
      <c r="C143" t="s">
        <v>128</v>
      </c>
      <c r="D143" t="s">
        <v>620</v>
      </c>
    </row>
    <row r="144" spans="1:4" hidden="1" x14ac:dyDescent="0.3">
      <c r="A144">
        <v>143</v>
      </c>
      <c r="B144" t="s">
        <v>610</v>
      </c>
      <c r="C144" t="s">
        <v>317</v>
      </c>
      <c r="D144" t="s">
        <v>621</v>
      </c>
    </row>
    <row r="145" spans="1:4" hidden="1" x14ac:dyDescent="0.3">
      <c r="A145">
        <v>144</v>
      </c>
      <c r="B145" t="s">
        <v>622</v>
      </c>
      <c r="C145" t="s">
        <v>121</v>
      </c>
      <c r="D145" t="s">
        <v>623</v>
      </c>
    </row>
    <row r="146" spans="1:4" hidden="1" x14ac:dyDescent="0.3">
      <c r="A146">
        <v>145</v>
      </c>
      <c r="B146" t="s">
        <v>622</v>
      </c>
      <c r="C146" t="s">
        <v>125</v>
      </c>
      <c r="D146" t="s">
        <v>624</v>
      </c>
    </row>
    <row r="147" spans="1:4" hidden="1" x14ac:dyDescent="0.3">
      <c r="A147">
        <v>146</v>
      </c>
      <c r="B147" t="s">
        <v>622</v>
      </c>
      <c r="C147" t="s">
        <v>127</v>
      </c>
      <c r="D147" t="s">
        <v>625</v>
      </c>
    </row>
    <row r="148" spans="1:4" hidden="1" x14ac:dyDescent="0.3">
      <c r="A148">
        <v>147</v>
      </c>
      <c r="B148" t="s">
        <v>622</v>
      </c>
      <c r="C148" t="s">
        <v>318</v>
      </c>
      <c r="D148" t="s">
        <v>626</v>
      </c>
    </row>
    <row r="149" spans="1:4" hidden="1" x14ac:dyDescent="0.3">
      <c r="A149">
        <v>148</v>
      </c>
      <c r="B149" t="s">
        <v>622</v>
      </c>
      <c r="C149" t="s">
        <v>319</v>
      </c>
      <c r="D149" t="s">
        <v>627</v>
      </c>
    </row>
    <row r="150" spans="1:4" hidden="1" x14ac:dyDescent="0.3">
      <c r="A150">
        <v>149</v>
      </c>
      <c r="B150" t="s">
        <v>628</v>
      </c>
      <c r="C150" t="s">
        <v>320</v>
      </c>
      <c r="D150" t="s">
        <v>629</v>
      </c>
    </row>
    <row r="151" spans="1:4" hidden="1" x14ac:dyDescent="0.3">
      <c r="A151">
        <v>150</v>
      </c>
      <c r="B151" t="s">
        <v>628</v>
      </c>
      <c r="C151" t="s">
        <v>321</v>
      </c>
      <c r="D151" t="s">
        <v>630</v>
      </c>
    </row>
    <row r="152" spans="1:4" hidden="1" x14ac:dyDescent="0.3">
      <c r="A152">
        <v>151</v>
      </c>
      <c r="B152" t="s">
        <v>628</v>
      </c>
      <c r="C152" t="s">
        <v>322</v>
      </c>
      <c r="D152" t="s">
        <v>631</v>
      </c>
    </row>
    <row r="153" spans="1:4" hidden="1" x14ac:dyDescent="0.3">
      <c r="A153">
        <v>152</v>
      </c>
      <c r="B153" t="s">
        <v>628</v>
      </c>
      <c r="C153" t="s">
        <v>323</v>
      </c>
      <c r="D153" t="s">
        <v>632</v>
      </c>
    </row>
    <row r="154" spans="1:4" hidden="1" x14ac:dyDescent="0.3">
      <c r="A154">
        <v>153</v>
      </c>
      <c r="B154" t="s">
        <v>628</v>
      </c>
      <c r="C154" t="s">
        <v>324</v>
      </c>
      <c r="D154" t="s">
        <v>633</v>
      </c>
    </row>
    <row r="155" spans="1:4" hidden="1" x14ac:dyDescent="0.3">
      <c r="A155">
        <v>154</v>
      </c>
      <c r="B155" t="s">
        <v>628</v>
      </c>
      <c r="C155" t="s">
        <v>325</v>
      </c>
      <c r="D155" t="s">
        <v>634</v>
      </c>
    </row>
    <row r="156" spans="1:4" hidden="1" x14ac:dyDescent="0.3">
      <c r="A156">
        <v>155</v>
      </c>
      <c r="B156" t="s">
        <v>628</v>
      </c>
      <c r="C156" t="s">
        <v>326</v>
      </c>
      <c r="D156" t="s">
        <v>635</v>
      </c>
    </row>
    <row r="157" spans="1:4" hidden="1" x14ac:dyDescent="0.3">
      <c r="A157">
        <v>156</v>
      </c>
      <c r="B157" t="s">
        <v>628</v>
      </c>
      <c r="C157" t="s">
        <v>327</v>
      </c>
      <c r="D157" t="s">
        <v>636</v>
      </c>
    </row>
    <row r="158" spans="1:4" hidden="1" x14ac:dyDescent="0.3">
      <c r="A158">
        <v>157</v>
      </c>
      <c r="B158" t="s">
        <v>628</v>
      </c>
      <c r="C158" t="s">
        <v>328</v>
      </c>
      <c r="D158" t="s">
        <v>637</v>
      </c>
    </row>
    <row r="159" spans="1:4" hidden="1" x14ac:dyDescent="0.3">
      <c r="A159">
        <v>158</v>
      </c>
      <c r="B159" t="s">
        <v>628</v>
      </c>
      <c r="C159" t="s">
        <v>329</v>
      </c>
      <c r="D159" t="s">
        <v>638</v>
      </c>
    </row>
    <row r="160" spans="1:4" hidden="1" x14ac:dyDescent="0.3">
      <c r="A160">
        <v>159</v>
      </c>
      <c r="B160" t="s">
        <v>628</v>
      </c>
      <c r="C160" t="s">
        <v>330</v>
      </c>
      <c r="D160" t="s">
        <v>639</v>
      </c>
    </row>
    <row r="161" spans="1:4" hidden="1" x14ac:dyDescent="0.3">
      <c r="A161">
        <v>160</v>
      </c>
      <c r="B161" t="s">
        <v>628</v>
      </c>
      <c r="C161" t="s">
        <v>331</v>
      </c>
      <c r="D161" t="s">
        <v>640</v>
      </c>
    </row>
    <row r="162" spans="1:4" hidden="1" x14ac:dyDescent="0.3">
      <c r="A162">
        <v>161</v>
      </c>
      <c r="B162" t="s">
        <v>628</v>
      </c>
      <c r="C162" t="s">
        <v>332</v>
      </c>
      <c r="D162" t="s">
        <v>641</v>
      </c>
    </row>
    <row r="163" spans="1:4" hidden="1" x14ac:dyDescent="0.3">
      <c r="A163">
        <v>162</v>
      </c>
      <c r="B163" t="s">
        <v>628</v>
      </c>
      <c r="C163" t="s">
        <v>333</v>
      </c>
      <c r="D163" t="s">
        <v>642</v>
      </c>
    </row>
    <row r="164" spans="1:4" hidden="1" x14ac:dyDescent="0.3">
      <c r="A164">
        <v>163</v>
      </c>
      <c r="B164" t="s">
        <v>628</v>
      </c>
      <c r="C164" t="s">
        <v>334</v>
      </c>
      <c r="D164" t="s">
        <v>643</v>
      </c>
    </row>
    <row r="165" spans="1:4" hidden="1" x14ac:dyDescent="0.3">
      <c r="A165">
        <v>164</v>
      </c>
      <c r="B165" t="s">
        <v>628</v>
      </c>
      <c r="C165" t="s">
        <v>335</v>
      </c>
      <c r="D165" t="s">
        <v>644</v>
      </c>
    </row>
    <row r="166" spans="1:4" hidden="1" x14ac:dyDescent="0.3">
      <c r="A166">
        <v>165</v>
      </c>
      <c r="B166" t="s">
        <v>628</v>
      </c>
      <c r="C166" t="s">
        <v>336</v>
      </c>
      <c r="D166" t="s">
        <v>645</v>
      </c>
    </row>
    <row r="167" spans="1:4" hidden="1" x14ac:dyDescent="0.3">
      <c r="A167">
        <v>166</v>
      </c>
      <c r="B167" t="s">
        <v>628</v>
      </c>
      <c r="C167" t="s">
        <v>337</v>
      </c>
      <c r="D167" t="s">
        <v>646</v>
      </c>
    </row>
    <row r="168" spans="1:4" hidden="1" x14ac:dyDescent="0.3">
      <c r="A168">
        <v>167</v>
      </c>
      <c r="B168" t="s">
        <v>628</v>
      </c>
      <c r="C168" t="s">
        <v>338</v>
      </c>
      <c r="D168" t="s">
        <v>647</v>
      </c>
    </row>
    <row r="169" spans="1:4" hidden="1" x14ac:dyDescent="0.3">
      <c r="A169">
        <v>168</v>
      </c>
      <c r="B169" t="s">
        <v>628</v>
      </c>
      <c r="C169" t="s">
        <v>339</v>
      </c>
      <c r="D169" t="s">
        <v>648</v>
      </c>
    </row>
    <row r="170" spans="1:4" hidden="1" x14ac:dyDescent="0.3">
      <c r="A170">
        <v>169</v>
      </c>
      <c r="B170" t="s">
        <v>628</v>
      </c>
      <c r="C170" t="s">
        <v>340</v>
      </c>
      <c r="D170" t="s">
        <v>649</v>
      </c>
    </row>
    <row r="171" spans="1:4" hidden="1" x14ac:dyDescent="0.3">
      <c r="A171">
        <v>170</v>
      </c>
      <c r="B171" t="s">
        <v>628</v>
      </c>
      <c r="C171" t="s">
        <v>341</v>
      </c>
      <c r="D171" t="s">
        <v>650</v>
      </c>
    </row>
    <row r="172" spans="1:4" hidden="1" x14ac:dyDescent="0.3">
      <c r="A172">
        <v>171</v>
      </c>
      <c r="B172" t="s">
        <v>651</v>
      </c>
      <c r="C172" t="s">
        <v>652</v>
      </c>
      <c r="D172" t="s">
        <v>653</v>
      </c>
    </row>
    <row r="173" spans="1:4" hidden="1" x14ac:dyDescent="0.3">
      <c r="A173">
        <v>172</v>
      </c>
      <c r="B173" t="s">
        <v>651</v>
      </c>
      <c r="C173" t="s">
        <v>185</v>
      </c>
      <c r="D173" t="s">
        <v>654</v>
      </c>
    </row>
    <row r="174" spans="1:4" hidden="1" x14ac:dyDescent="0.3">
      <c r="A174">
        <v>173</v>
      </c>
      <c r="B174" t="s">
        <v>651</v>
      </c>
      <c r="C174" t="s">
        <v>655</v>
      </c>
      <c r="D174" t="s">
        <v>656</v>
      </c>
    </row>
    <row r="175" spans="1:4" hidden="1" x14ac:dyDescent="0.3">
      <c r="A175">
        <v>174</v>
      </c>
      <c r="B175" t="s">
        <v>651</v>
      </c>
      <c r="C175" t="s">
        <v>657</v>
      </c>
      <c r="D175" t="s">
        <v>658</v>
      </c>
    </row>
    <row r="176" spans="1:4" hidden="1" x14ac:dyDescent="0.3">
      <c r="A176">
        <v>175</v>
      </c>
      <c r="B176" t="s">
        <v>651</v>
      </c>
      <c r="C176" t="s">
        <v>659</v>
      </c>
      <c r="D176" t="s">
        <v>660</v>
      </c>
    </row>
    <row r="177" spans="1:4" hidden="1" x14ac:dyDescent="0.3">
      <c r="A177">
        <v>176</v>
      </c>
      <c r="B177" t="s">
        <v>651</v>
      </c>
      <c r="C177" t="s">
        <v>661</v>
      </c>
      <c r="D177" t="s">
        <v>662</v>
      </c>
    </row>
    <row r="178" spans="1:4" hidden="1" x14ac:dyDescent="0.3">
      <c r="A178">
        <v>177</v>
      </c>
      <c r="B178" t="s">
        <v>651</v>
      </c>
      <c r="C178" t="s">
        <v>663</v>
      </c>
      <c r="D178" t="s">
        <v>664</v>
      </c>
    </row>
    <row r="179" spans="1:4" hidden="1" x14ac:dyDescent="0.3">
      <c r="A179">
        <v>178</v>
      </c>
      <c r="B179" t="s">
        <v>651</v>
      </c>
      <c r="C179" t="s">
        <v>665</v>
      </c>
      <c r="D179" t="s">
        <v>666</v>
      </c>
    </row>
    <row r="180" spans="1:4" hidden="1" x14ac:dyDescent="0.3">
      <c r="A180">
        <v>179</v>
      </c>
      <c r="B180" t="s">
        <v>651</v>
      </c>
      <c r="C180" t="s">
        <v>667</v>
      </c>
      <c r="D180" t="s">
        <v>668</v>
      </c>
    </row>
    <row r="181" spans="1:4" hidden="1" x14ac:dyDescent="0.3">
      <c r="A181">
        <v>180</v>
      </c>
      <c r="B181" t="s">
        <v>651</v>
      </c>
      <c r="C181" t="s">
        <v>669</v>
      </c>
      <c r="D181" t="s">
        <v>670</v>
      </c>
    </row>
    <row r="182" spans="1:4" hidden="1" x14ac:dyDescent="0.3">
      <c r="A182">
        <v>181</v>
      </c>
      <c r="B182" t="s">
        <v>651</v>
      </c>
      <c r="C182" t="s">
        <v>446</v>
      </c>
      <c r="D182" t="s">
        <v>671</v>
      </c>
    </row>
    <row r="183" spans="1:4" hidden="1" x14ac:dyDescent="0.3">
      <c r="A183">
        <v>182</v>
      </c>
      <c r="B183" t="s">
        <v>651</v>
      </c>
      <c r="C183" t="s">
        <v>672</v>
      </c>
      <c r="D183" t="s">
        <v>673</v>
      </c>
    </row>
    <row r="184" spans="1:4" hidden="1" x14ac:dyDescent="0.3">
      <c r="A184">
        <v>183</v>
      </c>
      <c r="B184" t="s">
        <v>651</v>
      </c>
      <c r="C184" t="s">
        <v>674</v>
      </c>
      <c r="D184" t="s">
        <v>675</v>
      </c>
    </row>
    <row r="185" spans="1:4" hidden="1" x14ac:dyDescent="0.3">
      <c r="A185">
        <v>184</v>
      </c>
      <c r="B185" t="s">
        <v>651</v>
      </c>
      <c r="C185" t="s">
        <v>676</v>
      </c>
      <c r="D185" t="s">
        <v>677</v>
      </c>
    </row>
    <row r="186" spans="1:4" hidden="1" x14ac:dyDescent="0.3">
      <c r="A186">
        <v>185</v>
      </c>
      <c r="B186" t="s">
        <v>651</v>
      </c>
      <c r="C186" t="s">
        <v>678</v>
      </c>
      <c r="D186" t="s">
        <v>679</v>
      </c>
    </row>
    <row r="187" spans="1:4" hidden="1" x14ac:dyDescent="0.3">
      <c r="A187">
        <v>186</v>
      </c>
      <c r="B187" t="s">
        <v>651</v>
      </c>
      <c r="C187" t="s">
        <v>680</v>
      </c>
      <c r="D187" t="s">
        <v>681</v>
      </c>
    </row>
    <row r="188" spans="1:4" hidden="1" x14ac:dyDescent="0.3">
      <c r="A188">
        <v>187</v>
      </c>
      <c r="B188" t="s">
        <v>682</v>
      </c>
      <c r="C188" t="s">
        <v>123</v>
      </c>
      <c r="D188" t="s">
        <v>683</v>
      </c>
    </row>
    <row r="189" spans="1:4" hidden="1" x14ac:dyDescent="0.3">
      <c r="A189">
        <v>188</v>
      </c>
      <c r="B189" t="s">
        <v>682</v>
      </c>
      <c r="C189" t="s">
        <v>684</v>
      </c>
      <c r="D189" t="s">
        <v>685</v>
      </c>
    </row>
    <row r="190" spans="1:4" hidden="1" x14ac:dyDescent="0.3">
      <c r="A190">
        <v>189</v>
      </c>
      <c r="B190" t="s">
        <v>682</v>
      </c>
      <c r="C190" t="s">
        <v>686</v>
      </c>
      <c r="D190" t="s">
        <v>687</v>
      </c>
    </row>
    <row r="191" spans="1:4" hidden="1" x14ac:dyDescent="0.3">
      <c r="A191">
        <v>190</v>
      </c>
      <c r="B191" t="s">
        <v>682</v>
      </c>
      <c r="C191" t="s">
        <v>124</v>
      </c>
      <c r="D191" t="s">
        <v>688</v>
      </c>
    </row>
    <row r="192" spans="1:4" hidden="1" x14ac:dyDescent="0.3">
      <c r="A192">
        <v>191</v>
      </c>
      <c r="B192" t="s">
        <v>682</v>
      </c>
      <c r="C192" t="s">
        <v>689</v>
      </c>
      <c r="D192" t="s">
        <v>690</v>
      </c>
    </row>
    <row r="193" spans="1:4" hidden="1" x14ac:dyDescent="0.3">
      <c r="A193">
        <v>192</v>
      </c>
      <c r="B193" t="s">
        <v>682</v>
      </c>
      <c r="C193" t="s">
        <v>691</v>
      </c>
      <c r="D193" t="s">
        <v>692</v>
      </c>
    </row>
    <row r="194" spans="1:4" hidden="1" x14ac:dyDescent="0.3">
      <c r="A194">
        <v>193</v>
      </c>
      <c r="B194" t="s">
        <v>682</v>
      </c>
      <c r="C194" t="s">
        <v>693</v>
      </c>
      <c r="D194" t="s">
        <v>694</v>
      </c>
    </row>
    <row r="195" spans="1:4" hidden="1" x14ac:dyDescent="0.3">
      <c r="A195">
        <v>194</v>
      </c>
      <c r="B195" t="s">
        <v>682</v>
      </c>
      <c r="C195" t="s">
        <v>695</v>
      </c>
      <c r="D195" t="s">
        <v>696</v>
      </c>
    </row>
    <row r="196" spans="1:4" hidden="1" x14ac:dyDescent="0.3">
      <c r="A196">
        <v>195</v>
      </c>
      <c r="B196" t="s">
        <v>682</v>
      </c>
      <c r="C196" t="s">
        <v>697</v>
      </c>
      <c r="D196" t="s">
        <v>698</v>
      </c>
    </row>
    <row r="197" spans="1:4" hidden="1" x14ac:dyDescent="0.3">
      <c r="A197">
        <v>196</v>
      </c>
      <c r="B197" t="s">
        <v>682</v>
      </c>
      <c r="C197" t="s">
        <v>699</v>
      </c>
      <c r="D197" t="s">
        <v>700</v>
      </c>
    </row>
    <row r="198" spans="1:4" hidden="1" x14ac:dyDescent="0.3">
      <c r="A198">
        <v>197</v>
      </c>
      <c r="B198" t="s">
        <v>682</v>
      </c>
      <c r="C198" t="s">
        <v>213</v>
      </c>
      <c r="D198" t="s">
        <v>701</v>
      </c>
    </row>
    <row r="199" spans="1:4" hidden="1" x14ac:dyDescent="0.3">
      <c r="A199">
        <v>198</v>
      </c>
      <c r="B199" t="s">
        <v>682</v>
      </c>
      <c r="C199" t="s">
        <v>702</v>
      </c>
      <c r="D199" t="s">
        <v>703</v>
      </c>
    </row>
    <row r="200" spans="1:4" hidden="1" x14ac:dyDescent="0.3">
      <c r="A200">
        <v>199</v>
      </c>
      <c r="B200" t="s">
        <v>682</v>
      </c>
      <c r="C200" t="s">
        <v>704</v>
      </c>
      <c r="D200" t="s">
        <v>705</v>
      </c>
    </row>
    <row r="201" spans="1:4" hidden="1" x14ac:dyDescent="0.3">
      <c r="A201">
        <v>200</v>
      </c>
      <c r="B201" t="s">
        <v>682</v>
      </c>
      <c r="C201" t="s">
        <v>706</v>
      </c>
      <c r="D201" t="s">
        <v>707</v>
      </c>
    </row>
    <row r="202" spans="1:4" hidden="1" x14ac:dyDescent="0.3">
      <c r="A202">
        <v>201</v>
      </c>
      <c r="B202" t="s">
        <v>682</v>
      </c>
      <c r="C202" t="s">
        <v>708</v>
      </c>
      <c r="D202" t="s">
        <v>709</v>
      </c>
    </row>
    <row r="203" spans="1:4" hidden="1" x14ac:dyDescent="0.3">
      <c r="A203">
        <v>202</v>
      </c>
      <c r="B203" t="s">
        <v>682</v>
      </c>
      <c r="C203" t="s">
        <v>710</v>
      </c>
      <c r="D203" t="s">
        <v>711</v>
      </c>
    </row>
    <row r="204" spans="1:4" hidden="1" x14ac:dyDescent="0.3">
      <c r="A204">
        <v>203</v>
      </c>
      <c r="B204" t="s">
        <v>682</v>
      </c>
      <c r="C204" t="s">
        <v>712</v>
      </c>
      <c r="D204" t="s">
        <v>713</v>
      </c>
    </row>
    <row r="205" spans="1:4" hidden="1" x14ac:dyDescent="0.3">
      <c r="A205">
        <v>204</v>
      </c>
      <c r="B205" t="s">
        <v>682</v>
      </c>
      <c r="C205" t="s">
        <v>714</v>
      </c>
      <c r="D205" t="s">
        <v>715</v>
      </c>
    </row>
    <row r="206" spans="1:4" hidden="1" x14ac:dyDescent="0.3">
      <c r="A206">
        <v>205</v>
      </c>
      <c r="B206" t="s">
        <v>682</v>
      </c>
      <c r="C206" t="s">
        <v>316</v>
      </c>
      <c r="D206" t="s">
        <v>716</v>
      </c>
    </row>
    <row r="207" spans="1:4" hidden="1" x14ac:dyDescent="0.3">
      <c r="A207">
        <v>206</v>
      </c>
      <c r="B207" t="s">
        <v>682</v>
      </c>
      <c r="C207" t="s">
        <v>717</v>
      </c>
      <c r="D207" t="s">
        <v>718</v>
      </c>
    </row>
    <row r="208" spans="1:4" hidden="1" x14ac:dyDescent="0.3">
      <c r="A208">
        <v>207</v>
      </c>
      <c r="B208" t="s">
        <v>682</v>
      </c>
      <c r="C208" t="s">
        <v>719</v>
      </c>
      <c r="D208" t="s">
        <v>720</v>
      </c>
    </row>
    <row r="209" spans="1:4" hidden="1" x14ac:dyDescent="0.3">
      <c r="A209">
        <v>208</v>
      </c>
      <c r="B209" t="s">
        <v>682</v>
      </c>
      <c r="C209" t="s">
        <v>721</v>
      </c>
      <c r="D209" t="s">
        <v>722</v>
      </c>
    </row>
    <row r="210" spans="1:4" hidden="1" x14ac:dyDescent="0.3">
      <c r="A210">
        <v>209</v>
      </c>
      <c r="B210" t="s">
        <v>682</v>
      </c>
      <c r="C210" t="s">
        <v>723</v>
      </c>
      <c r="D210" t="s">
        <v>724</v>
      </c>
    </row>
    <row r="211" spans="1:4" hidden="1" x14ac:dyDescent="0.3">
      <c r="A211">
        <v>210</v>
      </c>
      <c r="B211" t="s">
        <v>682</v>
      </c>
      <c r="C211" t="s">
        <v>725</v>
      </c>
      <c r="D211" t="s">
        <v>726</v>
      </c>
    </row>
    <row r="212" spans="1:4" hidden="1" x14ac:dyDescent="0.3">
      <c r="A212">
        <v>211</v>
      </c>
      <c r="B212" t="s">
        <v>682</v>
      </c>
      <c r="C212" t="s">
        <v>727</v>
      </c>
      <c r="D212" t="s">
        <v>728</v>
      </c>
    </row>
    <row r="213" spans="1:4" hidden="1" x14ac:dyDescent="0.3">
      <c r="A213">
        <v>212</v>
      </c>
      <c r="B213" t="s">
        <v>682</v>
      </c>
      <c r="C213" t="s">
        <v>729</v>
      </c>
      <c r="D213" t="s">
        <v>730</v>
      </c>
    </row>
    <row r="214" spans="1:4" hidden="1" x14ac:dyDescent="0.3">
      <c r="A214">
        <v>213</v>
      </c>
      <c r="B214" t="s">
        <v>682</v>
      </c>
      <c r="C214" t="s">
        <v>731</v>
      </c>
      <c r="D214" t="s">
        <v>732</v>
      </c>
    </row>
    <row r="215" spans="1:4" hidden="1" x14ac:dyDescent="0.3">
      <c r="A215">
        <v>214</v>
      </c>
      <c r="B215" t="s">
        <v>682</v>
      </c>
      <c r="C215" t="s">
        <v>733</v>
      </c>
      <c r="D215" t="s">
        <v>734</v>
      </c>
    </row>
    <row r="216" spans="1:4" hidden="1" x14ac:dyDescent="0.3">
      <c r="A216">
        <v>215</v>
      </c>
      <c r="B216" t="s">
        <v>682</v>
      </c>
      <c r="C216" t="s">
        <v>735</v>
      </c>
      <c r="D216" t="s">
        <v>736</v>
      </c>
    </row>
    <row r="217" spans="1:4" hidden="1" x14ac:dyDescent="0.3">
      <c r="A217">
        <v>216</v>
      </c>
      <c r="B217" t="s">
        <v>682</v>
      </c>
      <c r="C217" t="s">
        <v>737</v>
      </c>
      <c r="D217" t="s">
        <v>738</v>
      </c>
    </row>
    <row r="218" spans="1:4" hidden="1" x14ac:dyDescent="0.3">
      <c r="A218">
        <v>217</v>
      </c>
      <c r="B218" t="s">
        <v>682</v>
      </c>
      <c r="C218" t="s">
        <v>739</v>
      </c>
      <c r="D218" t="s">
        <v>740</v>
      </c>
    </row>
    <row r="219" spans="1:4" hidden="1" x14ac:dyDescent="0.3">
      <c r="A219">
        <v>218</v>
      </c>
      <c r="B219" t="s">
        <v>682</v>
      </c>
      <c r="C219" t="s">
        <v>741</v>
      </c>
      <c r="D219" t="s">
        <v>742</v>
      </c>
    </row>
    <row r="220" spans="1:4" hidden="1" x14ac:dyDescent="0.3">
      <c r="A220">
        <v>219</v>
      </c>
      <c r="B220" t="s">
        <v>682</v>
      </c>
      <c r="C220" t="s">
        <v>743</v>
      </c>
      <c r="D220" t="s">
        <v>744</v>
      </c>
    </row>
    <row r="221" spans="1:4" hidden="1" x14ac:dyDescent="0.3">
      <c r="A221">
        <v>220</v>
      </c>
      <c r="B221" t="s">
        <v>682</v>
      </c>
      <c r="C221" t="s">
        <v>745</v>
      </c>
      <c r="D221" t="s">
        <v>746</v>
      </c>
    </row>
    <row r="222" spans="1:4" hidden="1" x14ac:dyDescent="0.3">
      <c r="A222">
        <v>221</v>
      </c>
      <c r="B222" t="s">
        <v>682</v>
      </c>
      <c r="C222" t="s">
        <v>747</v>
      </c>
      <c r="D222" t="s">
        <v>748</v>
      </c>
    </row>
    <row r="223" spans="1:4" hidden="1" x14ac:dyDescent="0.3">
      <c r="A223">
        <v>222</v>
      </c>
      <c r="B223" t="s">
        <v>749</v>
      </c>
      <c r="C223" t="s">
        <v>750</v>
      </c>
      <c r="D223" t="s">
        <v>751</v>
      </c>
    </row>
    <row r="224" spans="1:4" hidden="1" x14ac:dyDescent="0.3">
      <c r="A224">
        <v>223</v>
      </c>
      <c r="B224" t="s">
        <v>752</v>
      </c>
      <c r="C224" t="s">
        <v>438</v>
      </c>
      <c r="D224" t="s">
        <v>753</v>
      </c>
    </row>
    <row r="225" spans="1:4" hidden="1" x14ac:dyDescent="0.3">
      <c r="A225">
        <v>224</v>
      </c>
      <c r="B225" t="s">
        <v>752</v>
      </c>
      <c r="C225" t="s">
        <v>754</v>
      </c>
      <c r="D225" t="s">
        <v>755</v>
      </c>
    </row>
    <row r="226" spans="1:4" hidden="1" x14ac:dyDescent="0.3">
      <c r="A226">
        <v>225</v>
      </c>
      <c r="B226" t="s">
        <v>752</v>
      </c>
      <c r="C226" t="s">
        <v>756</v>
      </c>
      <c r="D226" t="s">
        <v>757</v>
      </c>
    </row>
    <row r="227" spans="1:4" hidden="1" x14ac:dyDescent="0.3">
      <c r="A227">
        <v>226</v>
      </c>
      <c r="B227" t="s">
        <v>758</v>
      </c>
      <c r="C227" t="s">
        <v>439</v>
      </c>
      <c r="D227" t="s">
        <v>759</v>
      </c>
    </row>
    <row r="228" spans="1:4" hidden="1" x14ac:dyDescent="0.3">
      <c r="A228">
        <v>227</v>
      </c>
      <c r="B228" t="s">
        <v>758</v>
      </c>
      <c r="C228" t="s">
        <v>760</v>
      </c>
      <c r="D228" t="s">
        <v>761</v>
      </c>
    </row>
    <row r="229" spans="1:4" hidden="1" x14ac:dyDescent="0.3">
      <c r="A229">
        <v>228</v>
      </c>
      <c r="B229" t="s">
        <v>758</v>
      </c>
      <c r="C229" t="s">
        <v>762</v>
      </c>
      <c r="D229" t="s">
        <v>763</v>
      </c>
    </row>
    <row r="230" spans="1:4" hidden="1" x14ac:dyDescent="0.3">
      <c r="A230">
        <v>229</v>
      </c>
      <c r="B230" t="s">
        <v>764</v>
      </c>
      <c r="C230" t="s">
        <v>765</v>
      </c>
      <c r="D230" t="s">
        <v>766</v>
      </c>
    </row>
    <row r="231" spans="1:4" hidden="1" x14ac:dyDescent="0.3">
      <c r="A231">
        <v>230</v>
      </c>
      <c r="B231" t="s">
        <v>767</v>
      </c>
      <c r="C231" t="s">
        <v>768</v>
      </c>
      <c r="D231" t="s">
        <v>769</v>
      </c>
    </row>
    <row r="232" spans="1:4" hidden="1" x14ac:dyDescent="0.3">
      <c r="A232">
        <v>231</v>
      </c>
      <c r="B232" t="s">
        <v>770</v>
      </c>
      <c r="C232" t="s">
        <v>438</v>
      </c>
      <c r="D232" t="s">
        <v>771</v>
      </c>
    </row>
    <row r="233" spans="1:4" hidden="1" x14ac:dyDescent="0.3">
      <c r="A233">
        <v>232</v>
      </c>
      <c r="B233" t="s">
        <v>770</v>
      </c>
      <c r="C233" t="s">
        <v>440</v>
      </c>
      <c r="D233" t="s">
        <v>772</v>
      </c>
    </row>
    <row r="234" spans="1:4" hidden="1" x14ac:dyDescent="0.3">
      <c r="A234">
        <v>233</v>
      </c>
      <c r="B234" t="s">
        <v>770</v>
      </c>
      <c r="C234" t="s">
        <v>442</v>
      </c>
      <c r="D234" t="s">
        <v>773</v>
      </c>
    </row>
    <row r="235" spans="1:4" hidden="1" x14ac:dyDescent="0.3">
      <c r="A235">
        <v>234</v>
      </c>
      <c r="B235" t="s">
        <v>770</v>
      </c>
      <c r="C235" t="s">
        <v>443</v>
      </c>
      <c r="D235" t="s">
        <v>774</v>
      </c>
    </row>
    <row r="236" spans="1:4" hidden="1" x14ac:dyDescent="0.3">
      <c r="A236">
        <v>235</v>
      </c>
      <c r="B236" t="s">
        <v>770</v>
      </c>
      <c r="C236" t="s">
        <v>184</v>
      </c>
      <c r="D236" t="s">
        <v>775</v>
      </c>
    </row>
    <row r="237" spans="1:4" hidden="1" x14ac:dyDescent="0.3">
      <c r="A237">
        <v>236</v>
      </c>
      <c r="B237" t="s">
        <v>776</v>
      </c>
      <c r="C237" t="s">
        <v>777</v>
      </c>
      <c r="D237" t="s">
        <v>778</v>
      </c>
    </row>
    <row r="238" spans="1:4" hidden="1" x14ac:dyDescent="0.3">
      <c r="A238">
        <v>237</v>
      </c>
      <c r="B238" t="s">
        <v>776</v>
      </c>
      <c r="C238" t="s">
        <v>779</v>
      </c>
      <c r="D238" t="s">
        <v>780</v>
      </c>
    </row>
    <row r="239" spans="1:4" hidden="1" x14ac:dyDescent="0.3">
      <c r="A239">
        <v>238</v>
      </c>
      <c r="B239" t="s">
        <v>776</v>
      </c>
      <c r="C239" t="s">
        <v>781</v>
      </c>
      <c r="D239" t="s">
        <v>782</v>
      </c>
    </row>
    <row r="240" spans="1:4" hidden="1" x14ac:dyDescent="0.3">
      <c r="A240">
        <v>239</v>
      </c>
      <c r="B240" t="s">
        <v>776</v>
      </c>
      <c r="C240" t="s">
        <v>783</v>
      </c>
      <c r="D240" t="s">
        <v>784</v>
      </c>
    </row>
    <row r="241" spans="1:4" hidden="1" x14ac:dyDescent="0.3">
      <c r="A241">
        <v>240</v>
      </c>
      <c r="B241" t="s">
        <v>776</v>
      </c>
      <c r="C241" t="s">
        <v>785</v>
      </c>
      <c r="D241" t="s">
        <v>786</v>
      </c>
    </row>
    <row r="242" spans="1:4" hidden="1" x14ac:dyDescent="0.3">
      <c r="A242">
        <v>241</v>
      </c>
      <c r="B242" t="s">
        <v>787</v>
      </c>
      <c r="C242" t="s">
        <v>788</v>
      </c>
      <c r="D242" t="s">
        <v>789</v>
      </c>
    </row>
    <row r="243" spans="1:4" hidden="1" x14ac:dyDescent="0.3">
      <c r="A243">
        <v>242</v>
      </c>
      <c r="B243" t="s">
        <v>787</v>
      </c>
      <c r="C243" t="s">
        <v>790</v>
      </c>
      <c r="D243" t="s">
        <v>791</v>
      </c>
    </row>
    <row r="244" spans="1:4" hidden="1" x14ac:dyDescent="0.3">
      <c r="A244">
        <v>243</v>
      </c>
      <c r="B244" t="s">
        <v>792</v>
      </c>
      <c r="C244" t="s">
        <v>793</v>
      </c>
      <c r="D244" t="s">
        <v>794</v>
      </c>
    </row>
    <row r="245" spans="1:4" hidden="1" x14ac:dyDescent="0.3">
      <c r="A245">
        <v>244</v>
      </c>
      <c r="B245" t="s">
        <v>792</v>
      </c>
      <c r="C245" t="s">
        <v>795</v>
      </c>
      <c r="D245" t="s">
        <v>796</v>
      </c>
    </row>
    <row r="246" spans="1:4" hidden="1" x14ac:dyDescent="0.3">
      <c r="A246">
        <v>245</v>
      </c>
      <c r="B246" t="s">
        <v>792</v>
      </c>
      <c r="C246" t="s">
        <v>797</v>
      </c>
      <c r="D246" t="s">
        <v>798</v>
      </c>
    </row>
    <row r="247" spans="1:4" hidden="1" x14ac:dyDescent="0.3">
      <c r="A247">
        <v>246</v>
      </c>
      <c r="B247" t="s">
        <v>792</v>
      </c>
      <c r="C247" t="s">
        <v>444</v>
      </c>
      <c r="D247" t="s">
        <v>799</v>
      </c>
    </row>
    <row r="248" spans="1:4" hidden="1" x14ac:dyDescent="0.3">
      <c r="A248">
        <v>247</v>
      </c>
      <c r="B248" t="s">
        <v>800</v>
      </c>
      <c r="C248" t="s">
        <v>801</v>
      </c>
      <c r="D248" t="s">
        <v>802</v>
      </c>
    </row>
    <row r="249" spans="1:4" hidden="1" x14ac:dyDescent="0.3">
      <c r="A249">
        <v>248</v>
      </c>
      <c r="B249" t="s">
        <v>800</v>
      </c>
      <c r="C249" t="s">
        <v>803</v>
      </c>
      <c r="D249" t="s">
        <v>804</v>
      </c>
    </row>
    <row r="250" spans="1:4" hidden="1" x14ac:dyDescent="0.3">
      <c r="A250">
        <v>249</v>
      </c>
      <c r="B250" t="s">
        <v>800</v>
      </c>
      <c r="C250" t="s">
        <v>805</v>
      </c>
      <c r="D250" t="s">
        <v>806</v>
      </c>
    </row>
    <row r="251" spans="1:4" hidden="1" x14ac:dyDescent="0.3">
      <c r="A251">
        <v>250</v>
      </c>
      <c r="B251" t="s">
        <v>800</v>
      </c>
      <c r="C251" t="s">
        <v>807</v>
      </c>
      <c r="D251" t="s">
        <v>808</v>
      </c>
    </row>
    <row r="252" spans="1:4" hidden="1" x14ac:dyDescent="0.3">
      <c r="A252">
        <v>251</v>
      </c>
      <c r="B252" t="s">
        <v>809</v>
      </c>
      <c r="C252" t="s">
        <v>410</v>
      </c>
      <c r="D252" t="s">
        <v>810</v>
      </c>
    </row>
    <row r="253" spans="1:4" hidden="1" x14ac:dyDescent="0.3">
      <c r="A253">
        <v>252</v>
      </c>
      <c r="B253" t="s">
        <v>809</v>
      </c>
      <c r="C253" t="s">
        <v>441</v>
      </c>
      <c r="D253" t="s">
        <v>811</v>
      </c>
    </row>
    <row r="254" spans="1:4" hidden="1" x14ac:dyDescent="0.3">
      <c r="A254">
        <v>253</v>
      </c>
      <c r="B254" t="s">
        <v>812</v>
      </c>
      <c r="C254" t="s">
        <v>813</v>
      </c>
      <c r="D254" t="s">
        <v>814</v>
      </c>
    </row>
    <row r="255" spans="1:4" hidden="1" x14ac:dyDescent="0.3">
      <c r="A255">
        <v>254</v>
      </c>
      <c r="B255" t="s">
        <v>812</v>
      </c>
      <c r="C255" t="s">
        <v>815</v>
      </c>
      <c r="D255" t="s">
        <v>816</v>
      </c>
    </row>
    <row r="256" spans="1:4" hidden="1" x14ac:dyDescent="0.3">
      <c r="A256">
        <v>255</v>
      </c>
      <c r="B256" t="s">
        <v>812</v>
      </c>
      <c r="C256" t="s">
        <v>817</v>
      </c>
      <c r="D256" t="s">
        <v>818</v>
      </c>
    </row>
    <row r="257" spans="1:4" hidden="1" x14ac:dyDescent="0.3">
      <c r="A257">
        <v>256</v>
      </c>
      <c r="B257" t="s">
        <v>812</v>
      </c>
      <c r="C257" t="s">
        <v>819</v>
      </c>
      <c r="D257" t="s">
        <v>820</v>
      </c>
    </row>
    <row r="258" spans="1:4" hidden="1" x14ac:dyDescent="0.3">
      <c r="A258">
        <v>257</v>
      </c>
      <c r="B258" t="s">
        <v>821</v>
      </c>
      <c r="C258" t="s">
        <v>822</v>
      </c>
      <c r="D258" t="s">
        <v>823</v>
      </c>
    </row>
    <row r="259" spans="1:4" hidden="1" x14ac:dyDescent="0.3">
      <c r="A259">
        <v>258</v>
      </c>
      <c r="B259" t="s">
        <v>821</v>
      </c>
      <c r="C259" t="s">
        <v>824</v>
      </c>
      <c r="D259" t="s">
        <v>825</v>
      </c>
    </row>
    <row r="260" spans="1:4" hidden="1" x14ac:dyDescent="0.3">
      <c r="A260">
        <v>259</v>
      </c>
      <c r="B260" t="s">
        <v>821</v>
      </c>
      <c r="C260" t="s">
        <v>826</v>
      </c>
      <c r="D260" t="s">
        <v>827</v>
      </c>
    </row>
    <row r="261" spans="1:4" hidden="1" x14ac:dyDescent="0.3">
      <c r="A261">
        <v>260</v>
      </c>
      <c r="B261" t="s">
        <v>821</v>
      </c>
      <c r="C261" t="s">
        <v>828</v>
      </c>
      <c r="D261" t="s">
        <v>829</v>
      </c>
    </row>
    <row r="262" spans="1:4" hidden="1" x14ac:dyDescent="0.3">
      <c r="A262">
        <v>261</v>
      </c>
      <c r="B262" t="s">
        <v>821</v>
      </c>
      <c r="C262" t="s">
        <v>830</v>
      </c>
      <c r="D262" t="s">
        <v>831</v>
      </c>
    </row>
    <row r="263" spans="1:4" hidden="1" x14ac:dyDescent="0.3">
      <c r="A263">
        <v>262</v>
      </c>
      <c r="B263" t="s">
        <v>821</v>
      </c>
      <c r="C263" t="s">
        <v>832</v>
      </c>
      <c r="D263" t="s">
        <v>833</v>
      </c>
    </row>
    <row r="264" spans="1:4" hidden="1" x14ac:dyDescent="0.3">
      <c r="A264">
        <v>263</v>
      </c>
      <c r="B264" t="s">
        <v>821</v>
      </c>
      <c r="C264" t="s">
        <v>834</v>
      </c>
      <c r="D264" t="s">
        <v>835</v>
      </c>
    </row>
    <row r="265" spans="1:4" hidden="1" x14ac:dyDescent="0.3">
      <c r="A265">
        <v>264</v>
      </c>
      <c r="B265" t="s">
        <v>821</v>
      </c>
      <c r="C265" t="s">
        <v>836</v>
      </c>
      <c r="D265" t="s">
        <v>837</v>
      </c>
    </row>
    <row r="266" spans="1:4" hidden="1" x14ac:dyDescent="0.3">
      <c r="A266">
        <v>265</v>
      </c>
      <c r="B266" t="s">
        <v>821</v>
      </c>
      <c r="C266" t="s">
        <v>838</v>
      </c>
      <c r="D266" t="s">
        <v>839</v>
      </c>
    </row>
    <row r="267" spans="1:4" hidden="1" x14ac:dyDescent="0.3">
      <c r="A267">
        <v>266</v>
      </c>
      <c r="B267" t="s">
        <v>840</v>
      </c>
      <c r="C267" t="s">
        <v>841</v>
      </c>
      <c r="D267" t="s">
        <v>842</v>
      </c>
    </row>
    <row r="268" spans="1:4" hidden="1" x14ac:dyDescent="0.3">
      <c r="A268">
        <v>267</v>
      </c>
      <c r="B268" t="s">
        <v>840</v>
      </c>
      <c r="C268" t="s">
        <v>843</v>
      </c>
      <c r="D268" t="s">
        <v>844</v>
      </c>
    </row>
    <row r="269" spans="1:4" hidden="1" x14ac:dyDescent="0.3">
      <c r="A269">
        <v>268</v>
      </c>
      <c r="B269" t="s">
        <v>840</v>
      </c>
      <c r="C269" t="s">
        <v>845</v>
      </c>
      <c r="D269" t="s">
        <v>846</v>
      </c>
    </row>
    <row r="270" spans="1:4" hidden="1" x14ac:dyDescent="0.3">
      <c r="A270">
        <v>269</v>
      </c>
      <c r="B270" t="s">
        <v>840</v>
      </c>
      <c r="C270" t="s">
        <v>847</v>
      </c>
      <c r="D270" t="s">
        <v>848</v>
      </c>
    </row>
    <row r="271" spans="1:4" hidden="1" x14ac:dyDescent="0.3">
      <c r="A271">
        <v>270</v>
      </c>
      <c r="B271" t="s">
        <v>840</v>
      </c>
      <c r="C271" t="s">
        <v>849</v>
      </c>
      <c r="D271" t="s">
        <v>850</v>
      </c>
    </row>
    <row r="272" spans="1:4" hidden="1" x14ac:dyDescent="0.3">
      <c r="A272">
        <v>271</v>
      </c>
      <c r="B272" t="s">
        <v>840</v>
      </c>
      <c r="C272" t="s">
        <v>851</v>
      </c>
      <c r="D272" t="s">
        <v>852</v>
      </c>
    </row>
    <row r="273" spans="1:4" hidden="1" x14ac:dyDescent="0.3">
      <c r="A273">
        <v>272</v>
      </c>
      <c r="B273" t="s">
        <v>840</v>
      </c>
      <c r="C273" t="s">
        <v>853</v>
      </c>
      <c r="D273" t="s">
        <v>854</v>
      </c>
    </row>
    <row r="274" spans="1:4" hidden="1" x14ac:dyDescent="0.3">
      <c r="A274">
        <v>273</v>
      </c>
      <c r="B274" t="s">
        <v>840</v>
      </c>
      <c r="C274" t="s">
        <v>855</v>
      </c>
      <c r="D274" t="s">
        <v>856</v>
      </c>
    </row>
    <row r="275" spans="1:4" hidden="1" x14ac:dyDescent="0.3">
      <c r="A275">
        <v>274</v>
      </c>
      <c r="B275" t="s">
        <v>857</v>
      </c>
      <c r="C275" t="s">
        <v>858</v>
      </c>
      <c r="D275" t="s">
        <v>859</v>
      </c>
    </row>
    <row r="276" spans="1:4" hidden="1" x14ac:dyDescent="0.3">
      <c r="A276">
        <v>275</v>
      </c>
      <c r="B276" t="s">
        <v>857</v>
      </c>
      <c r="C276" t="s">
        <v>860</v>
      </c>
      <c r="D276" t="s">
        <v>861</v>
      </c>
    </row>
    <row r="277" spans="1:4" hidden="1" x14ac:dyDescent="0.3">
      <c r="A277">
        <v>276</v>
      </c>
      <c r="B277" t="s">
        <v>857</v>
      </c>
      <c r="C277" t="s">
        <v>862</v>
      </c>
      <c r="D277" t="s">
        <v>863</v>
      </c>
    </row>
    <row r="278" spans="1:4" hidden="1" x14ac:dyDescent="0.3">
      <c r="A278">
        <v>277</v>
      </c>
      <c r="B278" t="s">
        <v>857</v>
      </c>
      <c r="C278" t="s">
        <v>864</v>
      </c>
      <c r="D278" t="s">
        <v>865</v>
      </c>
    </row>
    <row r="279" spans="1:4" hidden="1" x14ac:dyDescent="0.3">
      <c r="A279">
        <v>278</v>
      </c>
      <c r="B279" t="s">
        <v>857</v>
      </c>
      <c r="C279" t="s">
        <v>866</v>
      </c>
      <c r="D279" t="s">
        <v>867</v>
      </c>
    </row>
    <row r="280" spans="1:4" hidden="1" x14ac:dyDescent="0.3">
      <c r="A280">
        <v>279</v>
      </c>
      <c r="B280" t="s">
        <v>857</v>
      </c>
      <c r="C280" t="s">
        <v>868</v>
      </c>
      <c r="D280" t="s">
        <v>869</v>
      </c>
    </row>
    <row r="281" spans="1:4" hidden="1" x14ac:dyDescent="0.3">
      <c r="A281">
        <v>280</v>
      </c>
      <c r="B281" t="s">
        <v>857</v>
      </c>
      <c r="C281" t="s">
        <v>870</v>
      </c>
      <c r="D281" t="s">
        <v>871</v>
      </c>
    </row>
    <row r="282" spans="1:4" hidden="1" x14ac:dyDescent="0.3">
      <c r="A282">
        <v>281</v>
      </c>
      <c r="B282" t="s">
        <v>857</v>
      </c>
      <c r="C282" t="s">
        <v>872</v>
      </c>
      <c r="D282" t="s">
        <v>873</v>
      </c>
    </row>
    <row r="283" spans="1:4" hidden="1" x14ac:dyDescent="0.3">
      <c r="A283">
        <v>282</v>
      </c>
      <c r="B283" t="s">
        <v>857</v>
      </c>
      <c r="C283" t="s">
        <v>874</v>
      </c>
      <c r="D283" t="s">
        <v>875</v>
      </c>
    </row>
    <row r="284" spans="1:4" hidden="1" x14ac:dyDescent="0.3">
      <c r="A284">
        <v>283</v>
      </c>
      <c r="B284" t="s">
        <v>857</v>
      </c>
      <c r="C284" t="s">
        <v>876</v>
      </c>
      <c r="D284" t="s">
        <v>877</v>
      </c>
    </row>
    <row r="285" spans="1:4" hidden="1" x14ac:dyDescent="0.3">
      <c r="A285">
        <v>284</v>
      </c>
      <c r="B285" t="s">
        <v>857</v>
      </c>
      <c r="C285" t="s">
        <v>878</v>
      </c>
      <c r="D285" t="s">
        <v>879</v>
      </c>
    </row>
    <row r="286" spans="1:4" hidden="1" x14ac:dyDescent="0.3">
      <c r="A286">
        <v>285</v>
      </c>
      <c r="B286" t="s">
        <v>880</v>
      </c>
      <c r="C286" t="s">
        <v>881</v>
      </c>
      <c r="D286" t="s">
        <v>882</v>
      </c>
    </row>
    <row r="287" spans="1:4" hidden="1" x14ac:dyDescent="0.3">
      <c r="A287">
        <v>286</v>
      </c>
      <c r="B287" t="s">
        <v>883</v>
      </c>
      <c r="C287" t="s">
        <v>884</v>
      </c>
      <c r="D287" t="s">
        <v>885</v>
      </c>
    </row>
    <row r="288" spans="1:4" hidden="1" x14ac:dyDescent="0.3">
      <c r="A288">
        <v>287</v>
      </c>
      <c r="B288" t="s">
        <v>883</v>
      </c>
      <c r="C288" t="s">
        <v>886</v>
      </c>
      <c r="D288" t="s">
        <v>887</v>
      </c>
    </row>
    <row r="289" spans="1:4" hidden="1" x14ac:dyDescent="0.3">
      <c r="A289">
        <v>288</v>
      </c>
      <c r="B289" t="s">
        <v>883</v>
      </c>
      <c r="C289" t="s">
        <v>888</v>
      </c>
      <c r="D289" t="s">
        <v>889</v>
      </c>
    </row>
    <row r="290" spans="1:4" hidden="1" x14ac:dyDescent="0.3">
      <c r="A290">
        <v>289</v>
      </c>
      <c r="B290" t="s">
        <v>883</v>
      </c>
      <c r="C290" t="s">
        <v>890</v>
      </c>
      <c r="D290" t="s">
        <v>891</v>
      </c>
    </row>
    <row r="291" spans="1:4" hidden="1" x14ac:dyDescent="0.3">
      <c r="A291">
        <v>290</v>
      </c>
      <c r="B291" t="s">
        <v>883</v>
      </c>
      <c r="C291" t="s">
        <v>411</v>
      </c>
      <c r="D291" t="s">
        <v>892</v>
      </c>
    </row>
    <row r="292" spans="1:4" hidden="1" x14ac:dyDescent="0.3">
      <c r="A292">
        <v>291</v>
      </c>
      <c r="B292" t="s">
        <v>883</v>
      </c>
      <c r="C292" t="s">
        <v>412</v>
      </c>
      <c r="D292" t="s">
        <v>893</v>
      </c>
    </row>
    <row r="293" spans="1:4" hidden="1" x14ac:dyDescent="0.3">
      <c r="A293">
        <v>292</v>
      </c>
      <c r="B293" t="s">
        <v>883</v>
      </c>
      <c r="C293" t="s">
        <v>894</v>
      </c>
      <c r="D293" t="s">
        <v>895</v>
      </c>
    </row>
    <row r="294" spans="1:4" hidden="1" x14ac:dyDescent="0.3">
      <c r="A294">
        <v>293</v>
      </c>
      <c r="B294" t="s">
        <v>883</v>
      </c>
      <c r="C294" t="s">
        <v>896</v>
      </c>
      <c r="D294" t="s">
        <v>897</v>
      </c>
    </row>
    <row r="295" spans="1:4" hidden="1" x14ac:dyDescent="0.3">
      <c r="A295">
        <v>294</v>
      </c>
      <c r="B295" t="s">
        <v>883</v>
      </c>
      <c r="C295" t="s">
        <v>898</v>
      </c>
      <c r="D295" t="s">
        <v>899</v>
      </c>
    </row>
    <row r="296" spans="1:4" hidden="1" x14ac:dyDescent="0.3">
      <c r="A296">
        <v>295</v>
      </c>
      <c r="B296" t="s">
        <v>900</v>
      </c>
      <c r="C296" t="s">
        <v>901</v>
      </c>
      <c r="D296" t="s">
        <v>902</v>
      </c>
    </row>
    <row r="297" spans="1:4" hidden="1" x14ac:dyDescent="0.3">
      <c r="A297">
        <v>296</v>
      </c>
      <c r="B297" t="s">
        <v>900</v>
      </c>
      <c r="C297" t="s">
        <v>903</v>
      </c>
      <c r="D297" t="s">
        <v>904</v>
      </c>
    </row>
    <row r="298" spans="1:4" hidden="1" x14ac:dyDescent="0.3">
      <c r="A298">
        <v>297</v>
      </c>
      <c r="B298" t="s">
        <v>900</v>
      </c>
      <c r="C298" t="s">
        <v>905</v>
      </c>
      <c r="D298" t="s">
        <v>906</v>
      </c>
    </row>
    <row r="299" spans="1:4" hidden="1" x14ac:dyDescent="0.3">
      <c r="A299">
        <v>298</v>
      </c>
      <c r="B299" t="s">
        <v>900</v>
      </c>
      <c r="C299" t="s">
        <v>907</v>
      </c>
      <c r="D299" t="s">
        <v>908</v>
      </c>
    </row>
    <row r="300" spans="1:4" hidden="1" x14ac:dyDescent="0.3">
      <c r="A300">
        <v>299</v>
      </c>
      <c r="B300" t="s">
        <v>900</v>
      </c>
      <c r="C300" t="s">
        <v>909</v>
      </c>
      <c r="D300" t="s">
        <v>910</v>
      </c>
    </row>
    <row r="301" spans="1:4" hidden="1" x14ac:dyDescent="0.3">
      <c r="A301">
        <v>300</v>
      </c>
      <c r="B301" t="s">
        <v>900</v>
      </c>
      <c r="C301" t="s">
        <v>911</v>
      </c>
      <c r="D301" t="s">
        <v>912</v>
      </c>
    </row>
    <row r="302" spans="1:4" hidden="1" x14ac:dyDescent="0.3">
      <c r="A302">
        <v>301</v>
      </c>
      <c r="B302" t="s">
        <v>900</v>
      </c>
      <c r="C302" t="s">
        <v>413</v>
      </c>
      <c r="D302" t="s">
        <v>913</v>
      </c>
    </row>
    <row r="303" spans="1:4" hidden="1" x14ac:dyDescent="0.3">
      <c r="A303">
        <v>302</v>
      </c>
      <c r="B303" t="s">
        <v>900</v>
      </c>
      <c r="C303" t="s">
        <v>914</v>
      </c>
      <c r="D303" t="s">
        <v>915</v>
      </c>
    </row>
    <row r="304" spans="1:4" hidden="1" x14ac:dyDescent="0.3">
      <c r="A304">
        <v>303</v>
      </c>
      <c r="B304" t="s">
        <v>916</v>
      </c>
      <c r="C304" t="s">
        <v>917</v>
      </c>
      <c r="D304" t="s">
        <v>918</v>
      </c>
    </row>
    <row r="305" spans="1:4" hidden="1" x14ac:dyDescent="0.3">
      <c r="A305">
        <v>304</v>
      </c>
      <c r="B305" t="s">
        <v>916</v>
      </c>
      <c r="C305" t="s">
        <v>919</v>
      </c>
      <c r="D305" t="s">
        <v>920</v>
      </c>
    </row>
    <row r="306" spans="1:4" hidden="1" x14ac:dyDescent="0.3">
      <c r="A306">
        <v>305</v>
      </c>
      <c r="B306" t="s">
        <v>916</v>
      </c>
      <c r="C306" t="s">
        <v>921</v>
      </c>
      <c r="D306" t="s">
        <v>922</v>
      </c>
    </row>
    <row r="307" spans="1:4" hidden="1" x14ac:dyDescent="0.3">
      <c r="A307">
        <v>306</v>
      </c>
      <c r="B307" t="s">
        <v>916</v>
      </c>
      <c r="C307" t="s">
        <v>923</v>
      </c>
      <c r="D307" t="s">
        <v>924</v>
      </c>
    </row>
    <row r="308" spans="1:4" hidden="1" x14ac:dyDescent="0.3">
      <c r="A308">
        <v>307</v>
      </c>
      <c r="B308" t="s">
        <v>916</v>
      </c>
      <c r="C308" t="s">
        <v>925</v>
      </c>
      <c r="D308" t="s">
        <v>926</v>
      </c>
    </row>
    <row r="309" spans="1:4" hidden="1" x14ac:dyDescent="0.3">
      <c r="A309">
        <v>308</v>
      </c>
      <c r="B309" t="s">
        <v>916</v>
      </c>
      <c r="C309" t="s">
        <v>927</v>
      </c>
      <c r="D309" t="s">
        <v>928</v>
      </c>
    </row>
    <row r="310" spans="1:4" hidden="1" x14ac:dyDescent="0.3">
      <c r="A310">
        <v>309</v>
      </c>
      <c r="B310" t="s">
        <v>916</v>
      </c>
      <c r="C310" t="s">
        <v>929</v>
      </c>
      <c r="D310" t="s">
        <v>930</v>
      </c>
    </row>
    <row r="311" spans="1:4" hidden="1" x14ac:dyDescent="0.3">
      <c r="A311">
        <v>310</v>
      </c>
      <c r="B311" t="s">
        <v>916</v>
      </c>
      <c r="C311" t="s">
        <v>931</v>
      </c>
      <c r="D311" t="s">
        <v>932</v>
      </c>
    </row>
    <row r="312" spans="1:4" hidden="1" x14ac:dyDescent="0.3">
      <c r="A312">
        <v>311</v>
      </c>
      <c r="B312" t="s">
        <v>916</v>
      </c>
      <c r="C312" t="s">
        <v>933</v>
      </c>
      <c r="D312" t="s">
        <v>934</v>
      </c>
    </row>
    <row r="313" spans="1:4" hidden="1" x14ac:dyDescent="0.3">
      <c r="A313">
        <v>312</v>
      </c>
      <c r="B313" t="s">
        <v>916</v>
      </c>
      <c r="C313" t="s">
        <v>935</v>
      </c>
      <c r="D313" t="s">
        <v>936</v>
      </c>
    </row>
    <row r="314" spans="1:4" hidden="1" x14ac:dyDescent="0.3">
      <c r="A314">
        <v>313</v>
      </c>
      <c r="B314" t="s">
        <v>916</v>
      </c>
      <c r="C314" t="s">
        <v>937</v>
      </c>
      <c r="D314" t="s">
        <v>938</v>
      </c>
    </row>
    <row r="315" spans="1:4" hidden="1" x14ac:dyDescent="0.3">
      <c r="A315">
        <v>314</v>
      </c>
      <c r="B315" t="s">
        <v>939</v>
      </c>
      <c r="C315" t="s">
        <v>342</v>
      </c>
      <c r="D315" t="s">
        <v>940</v>
      </c>
    </row>
    <row r="316" spans="1:4" hidden="1" x14ac:dyDescent="0.3">
      <c r="A316">
        <v>315</v>
      </c>
      <c r="B316" t="s">
        <v>939</v>
      </c>
      <c r="C316" t="s">
        <v>343</v>
      </c>
      <c r="D316" t="s">
        <v>941</v>
      </c>
    </row>
    <row r="317" spans="1:4" hidden="1" x14ac:dyDescent="0.3">
      <c r="A317">
        <v>316</v>
      </c>
      <c r="B317" t="s">
        <v>939</v>
      </c>
      <c r="C317" t="s">
        <v>344</v>
      </c>
      <c r="D317" t="s">
        <v>942</v>
      </c>
    </row>
    <row r="318" spans="1:4" hidden="1" x14ac:dyDescent="0.3">
      <c r="A318">
        <v>317</v>
      </c>
      <c r="B318" t="s">
        <v>939</v>
      </c>
      <c r="C318" t="s">
        <v>345</v>
      </c>
      <c r="D318" t="s">
        <v>943</v>
      </c>
    </row>
    <row r="319" spans="1:4" hidden="1" x14ac:dyDescent="0.3">
      <c r="A319">
        <v>318</v>
      </c>
      <c r="B319" t="s">
        <v>939</v>
      </c>
      <c r="C319" t="s">
        <v>346</v>
      </c>
      <c r="D319" t="s">
        <v>944</v>
      </c>
    </row>
    <row r="320" spans="1:4" hidden="1" x14ac:dyDescent="0.3">
      <c r="A320">
        <v>319</v>
      </c>
      <c r="B320" t="s">
        <v>939</v>
      </c>
      <c r="C320" t="s">
        <v>347</v>
      </c>
      <c r="D320" t="s">
        <v>945</v>
      </c>
    </row>
    <row r="321" spans="1:4" hidden="1" x14ac:dyDescent="0.3">
      <c r="A321">
        <v>320</v>
      </c>
      <c r="B321" t="s">
        <v>939</v>
      </c>
      <c r="C321" t="s">
        <v>348</v>
      </c>
      <c r="D321" t="s">
        <v>946</v>
      </c>
    </row>
    <row r="322" spans="1:4" hidden="1" x14ac:dyDescent="0.3">
      <c r="A322">
        <v>321</v>
      </c>
      <c r="B322" t="s">
        <v>939</v>
      </c>
      <c r="C322" t="s">
        <v>349</v>
      </c>
      <c r="D322" t="s">
        <v>947</v>
      </c>
    </row>
    <row r="323" spans="1:4" hidden="1" x14ac:dyDescent="0.3">
      <c r="A323">
        <v>322</v>
      </c>
      <c r="B323" t="s">
        <v>939</v>
      </c>
      <c r="C323" t="s">
        <v>350</v>
      </c>
      <c r="D323" t="s">
        <v>948</v>
      </c>
    </row>
    <row r="324" spans="1:4" hidden="1" x14ac:dyDescent="0.3">
      <c r="A324">
        <v>323</v>
      </c>
      <c r="B324" t="s">
        <v>939</v>
      </c>
      <c r="C324" t="s">
        <v>351</v>
      </c>
      <c r="D324" t="s">
        <v>949</v>
      </c>
    </row>
    <row r="325" spans="1:4" hidden="1" x14ac:dyDescent="0.3">
      <c r="A325">
        <v>324</v>
      </c>
      <c r="B325" t="s">
        <v>939</v>
      </c>
      <c r="C325" t="s">
        <v>352</v>
      </c>
      <c r="D325" t="s">
        <v>950</v>
      </c>
    </row>
    <row r="326" spans="1:4" hidden="1" x14ac:dyDescent="0.3">
      <c r="A326">
        <v>325</v>
      </c>
      <c r="B326" t="s">
        <v>939</v>
      </c>
      <c r="C326" t="s">
        <v>353</v>
      </c>
      <c r="D326" t="s">
        <v>951</v>
      </c>
    </row>
    <row r="327" spans="1:4" hidden="1" x14ac:dyDescent="0.3">
      <c r="A327">
        <v>326</v>
      </c>
      <c r="B327" t="s">
        <v>939</v>
      </c>
      <c r="C327" t="s">
        <v>354</v>
      </c>
      <c r="D327" t="s">
        <v>952</v>
      </c>
    </row>
    <row r="328" spans="1:4" hidden="1" x14ac:dyDescent="0.3">
      <c r="A328">
        <v>327</v>
      </c>
      <c r="B328" t="s">
        <v>939</v>
      </c>
      <c r="C328" t="s">
        <v>355</v>
      </c>
      <c r="D328" t="s">
        <v>953</v>
      </c>
    </row>
    <row r="329" spans="1:4" hidden="1" x14ac:dyDescent="0.3">
      <c r="A329">
        <v>328</v>
      </c>
      <c r="B329" t="s">
        <v>954</v>
      </c>
      <c r="C329" t="s">
        <v>356</v>
      </c>
      <c r="D329" t="s">
        <v>955</v>
      </c>
    </row>
    <row r="330" spans="1:4" hidden="1" x14ac:dyDescent="0.3">
      <c r="A330">
        <v>329</v>
      </c>
      <c r="B330" t="s">
        <v>954</v>
      </c>
      <c r="C330" t="s">
        <v>357</v>
      </c>
      <c r="D330" t="s">
        <v>956</v>
      </c>
    </row>
    <row r="331" spans="1:4" hidden="1" x14ac:dyDescent="0.3">
      <c r="A331">
        <v>330</v>
      </c>
      <c r="B331" t="s">
        <v>954</v>
      </c>
      <c r="C331" t="s">
        <v>358</v>
      </c>
      <c r="D331" t="s">
        <v>957</v>
      </c>
    </row>
    <row r="332" spans="1:4" hidden="1" x14ac:dyDescent="0.3">
      <c r="A332">
        <v>331</v>
      </c>
      <c r="B332" t="s">
        <v>954</v>
      </c>
      <c r="C332" t="s">
        <v>359</v>
      </c>
      <c r="D332" t="s">
        <v>958</v>
      </c>
    </row>
    <row r="333" spans="1:4" hidden="1" x14ac:dyDescent="0.3">
      <c r="A333">
        <v>332</v>
      </c>
      <c r="B333" t="s">
        <v>954</v>
      </c>
      <c r="C333" t="s">
        <v>360</v>
      </c>
      <c r="D333" t="s">
        <v>959</v>
      </c>
    </row>
    <row r="334" spans="1:4" hidden="1" x14ac:dyDescent="0.3">
      <c r="A334">
        <v>333</v>
      </c>
      <c r="B334" t="s">
        <v>954</v>
      </c>
      <c r="C334" t="s">
        <v>361</v>
      </c>
      <c r="D334" t="s">
        <v>960</v>
      </c>
    </row>
    <row r="335" spans="1:4" hidden="1" x14ac:dyDescent="0.3">
      <c r="A335">
        <v>334</v>
      </c>
      <c r="B335" t="s">
        <v>954</v>
      </c>
      <c r="C335" t="s">
        <v>362</v>
      </c>
      <c r="D335" t="s">
        <v>961</v>
      </c>
    </row>
    <row r="336" spans="1:4" hidden="1" x14ac:dyDescent="0.3">
      <c r="A336">
        <v>335</v>
      </c>
      <c r="B336" t="s">
        <v>954</v>
      </c>
      <c r="C336" t="s">
        <v>363</v>
      </c>
      <c r="D336" t="s">
        <v>962</v>
      </c>
    </row>
    <row r="337" spans="1:4" hidden="1" x14ac:dyDescent="0.3">
      <c r="A337">
        <v>336</v>
      </c>
      <c r="B337" t="s">
        <v>954</v>
      </c>
      <c r="C337" t="s">
        <v>364</v>
      </c>
      <c r="D337" t="s">
        <v>963</v>
      </c>
    </row>
    <row r="338" spans="1:4" hidden="1" x14ac:dyDescent="0.3">
      <c r="A338">
        <v>337</v>
      </c>
      <c r="B338" t="s">
        <v>954</v>
      </c>
      <c r="C338" t="s">
        <v>365</v>
      </c>
      <c r="D338" t="s">
        <v>964</v>
      </c>
    </row>
    <row r="339" spans="1:4" hidden="1" x14ac:dyDescent="0.3">
      <c r="A339">
        <v>338</v>
      </c>
      <c r="B339" t="s">
        <v>954</v>
      </c>
      <c r="C339" t="s">
        <v>366</v>
      </c>
      <c r="D339" t="s">
        <v>965</v>
      </c>
    </row>
    <row r="340" spans="1:4" hidden="1" x14ac:dyDescent="0.3">
      <c r="A340">
        <v>339</v>
      </c>
      <c r="B340" t="s">
        <v>954</v>
      </c>
      <c r="C340" t="s">
        <v>367</v>
      </c>
      <c r="D340" t="s">
        <v>966</v>
      </c>
    </row>
    <row r="341" spans="1:4" hidden="1" x14ac:dyDescent="0.3">
      <c r="A341">
        <v>340</v>
      </c>
      <c r="B341" t="s">
        <v>954</v>
      </c>
      <c r="C341" t="s">
        <v>368</v>
      </c>
      <c r="D341" t="s">
        <v>967</v>
      </c>
    </row>
    <row r="342" spans="1:4" hidden="1" x14ac:dyDescent="0.3">
      <c r="A342">
        <v>341</v>
      </c>
      <c r="B342" t="s">
        <v>954</v>
      </c>
      <c r="C342" t="s">
        <v>369</v>
      </c>
      <c r="D342" t="s">
        <v>968</v>
      </c>
    </row>
    <row r="343" spans="1:4" hidden="1" x14ac:dyDescent="0.3">
      <c r="A343">
        <v>342</v>
      </c>
      <c r="B343" t="s">
        <v>954</v>
      </c>
      <c r="C343" t="s">
        <v>370</v>
      </c>
      <c r="D343" t="s">
        <v>969</v>
      </c>
    </row>
    <row r="344" spans="1:4" hidden="1" x14ac:dyDescent="0.3">
      <c r="A344">
        <v>343</v>
      </c>
      <c r="B344" t="s">
        <v>954</v>
      </c>
      <c r="C344" t="s">
        <v>371</v>
      </c>
      <c r="D344" t="s">
        <v>970</v>
      </c>
    </row>
    <row r="345" spans="1:4" hidden="1" x14ac:dyDescent="0.3">
      <c r="A345">
        <v>344</v>
      </c>
      <c r="B345" t="s">
        <v>954</v>
      </c>
      <c r="C345" t="s">
        <v>372</v>
      </c>
      <c r="D345" t="s">
        <v>971</v>
      </c>
    </row>
    <row r="346" spans="1:4" hidden="1" x14ac:dyDescent="0.3">
      <c r="A346">
        <v>345</v>
      </c>
      <c r="B346" t="s">
        <v>954</v>
      </c>
      <c r="C346" t="s">
        <v>373</v>
      </c>
      <c r="D346" t="s">
        <v>972</v>
      </c>
    </row>
    <row r="347" spans="1:4" hidden="1" x14ac:dyDescent="0.3">
      <c r="A347">
        <v>346</v>
      </c>
      <c r="B347" t="s">
        <v>954</v>
      </c>
      <c r="C347" t="s">
        <v>374</v>
      </c>
      <c r="D347" t="s">
        <v>973</v>
      </c>
    </row>
    <row r="348" spans="1:4" hidden="1" x14ac:dyDescent="0.3">
      <c r="A348">
        <v>347</v>
      </c>
      <c r="B348" t="s">
        <v>954</v>
      </c>
      <c r="C348" t="s">
        <v>375</v>
      </c>
      <c r="D348" t="s">
        <v>974</v>
      </c>
    </row>
    <row r="349" spans="1:4" hidden="1" x14ac:dyDescent="0.3">
      <c r="A349">
        <v>348</v>
      </c>
      <c r="B349" t="s">
        <v>954</v>
      </c>
      <c r="C349" t="s">
        <v>376</v>
      </c>
      <c r="D349" t="s">
        <v>975</v>
      </c>
    </row>
    <row r="350" spans="1:4" hidden="1" x14ac:dyDescent="0.3">
      <c r="A350">
        <v>349</v>
      </c>
      <c r="B350" t="s">
        <v>954</v>
      </c>
      <c r="C350" t="s">
        <v>377</v>
      </c>
      <c r="D350" t="s">
        <v>976</v>
      </c>
    </row>
    <row r="351" spans="1:4" hidden="1" x14ac:dyDescent="0.3">
      <c r="A351">
        <v>350</v>
      </c>
      <c r="B351" t="s">
        <v>954</v>
      </c>
      <c r="C351" t="s">
        <v>378</v>
      </c>
      <c r="D351" t="s">
        <v>977</v>
      </c>
    </row>
    <row r="352" spans="1:4" hidden="1" x14ac:dyDescent="0.3">
      <c r="A352">
        <v>351</v>
      </c>
      <c r="B352" t="s">
        <v>954</v>
      </c>
      <c r="C352" t="s">
        <v>379</v>
      </c>
      <c r="D352" t="s">
        <v>978</v>
      </c>
    </row>
    <row r="353" spans="1:4" hidden="1" x14ac:dyDescent="0.3">
      <c r="A353">
        <v>352</v>
      </c>
      <c r="B353" t="s">
        <v>954</v>
      </c>
      <c r="C353" t="s">
        <v>380</v>
      </c>
      <c r="D353" t="s">
        <v>979</v>
      </c>
    </row>
    <row r="354" spans="1:4" hidden="1" x14ac:dyDescent="0.3">
      <c r="A354">
        <v>353</v>
      </c>
      <c r="B354" t="s">
        <v>954</v>
      </c>
      <c r="C354" t="s">
        <v>381</v>
      </c>
      <c r="D354" t="s">
        <v>980</v>
      </c>
    </row>
    <row r="355" spans="1:4" hidden="1" x14ac:dyDescent="0.3">
      <c r="A355">
        <v>354</v>
      </c>
      <c r="B355" t="s">
        <v>954</v>
      </c>
      <c r="C355" t="s">
        <v>382</v>
      </c>
      <c r="D355" t="s">
        <v>981</v>
      </c>
    </row>
    <row r="356" spans="1:4" hidden="1" x14ac:dyDescent="0.3">
      <c r="A356">
        <v>355</v>
      </c>
      <c r="B356" t="s">
        <v>954</v>
      </c>
      <c r="C356" t="s">
        <v>383</v>
      </c>
      <c r="D356" t="s">
        <v>982</v>
      </c>
    </row>
    <row r="357" spans="1:4" hidden="1" x14ac:dyDescent="0.3">
      <c r="A357">
        <v>356</v>
      </c>
      <c r="B357" t="s">
        <v>954</v>
      </c>
      <c r="C357" t="s">
        <v>384</v>
      </c>
      <c r="D357" t="s">
        <v>983</v>
      </c>
    </row>
    <row r="358" spans="1:4" hidden="1" x14ac:dyDescent="0.3">
      <c r="A358">
        <v>357</v>
      </c>
      <c r="B358" t="s">
        <v>954</v>
      </c>
      <c r="C358" t="s">
        <v>385</v>
      </c>
      <c r="D358" t="s">
        <v>984</v>
      </c>
    </row>
    <row r="359" spans="1:4" hidden="1" x14ac:dyDescent="0.3">
      <c r="A359">
        <v>358</v>
      </c>
      <c r="B359" t="s">
        <v>954</v>
      </c>
      <c r="C359" t="s">
        <v>386</v>
      </c>
      <c r="D359" t="s">
        <v>985</v>
      </c>
    </row>
    <row r="360" spans="1:4" hidden="1" x14ac:dyDescent="0.3">
      <c r="A360">
        <v>359</v>
      </c>
      <c r="B360" t="s">
        <v>954</v>
      </c>
      <c r="C360" t="s">
        <v>387</v>
      </c>
      <c r="D360" t="s">
        <v>986</v>
      </c>
    </row>
    <row r="361" spans="1:4" hidden="1" x14ac:dyDescent="0.3">
      <c r="A361">
        <v>360</v>
      </c>
      <c r="B361" t="s">
        <v>954</v>
      </c>
      <c r="C361" t="s">
        <v>388</v>
      </c>
      <c r="D361" t="s">
        <v>987</v>
      </c>
    </row>
    <row r="362" spans="1:4" hidden="1" x14ac:dyDescent="0.3">
      <c r="A362">
        <v>361</v>
      </c>
      <c r="B362" t="s">
        <v>954</v>
      </c>
      <c r="C362" t="s">
        <v>389</v>
      </c>
      <c r="D362" t="s">
        <v>988</v>
      </c>
    </row>
    <row r="363" spans="1:4" hidden="1" x14ac:dyDescent="0.3">
      <c r="A363">
        <v>362</v>
      </c>
      <c r="B363" t="s">
        <v>954</v>
      </c>
      <c r="C363" t="s">
        <v>390</v>
      </c>
      <c r="D363" t="s">
        <v>989</v>
      </c>
    </row>
    <row r="364" spans="1:4" hidden="1" x14ac:dyDescent="0.3">
      <c r="A364">
        <v>363</v>
      </c>
      <c r="B364" t="s">
        <v>954</v>
      </c>
      <c r="C364" t="s">
        <v>391</v>
      </c>
      <c r="D364" t="s">
        <v>990</v>
      </c>
    </row>
    <row r="365" spans="1:4" hidden="1" x14ac:dyDescent="0.3">
      <c r="A365">
        <v>364</v>
      </c>
      <c r="B365" t="s">
        <v>954</v>
      </c>
      <c r="C365" t="s">
        <v>392</v>
      </c>
      <c r="D365" t="s">
        <v>991</v>
      </c>
    </row>
    <row r="366" spans="1:4" hidden="1" x14ac:dyDescent="0.3">
      <c r="A366">
        <v>365</v>
      </c>
      <c r="B366" t="s">
        <v>954</v>
      </c>
      <c r="C366" t="s">
        <v>393</v>
      </c>
      <c r="D366" t="s">
        <v>992</v>
      </c>
    </row>
    <row r="367" spans="1:4" hidden="1" x14ac:dyDescent="0.3">
      <c r="A367">
        <v>366</v>
      </c>
      <c r="B367" t="s">
        <v>954</v>
      </c>
      <c r="C367" t="s">
        <v>394</v>
      </c>
      <c r="D367" t="s">
        <v>993</v>
      </c>
    </row>
    <row r="368" spans="1:4" hidden="1" x14ac:dyDescent="0.3">
      <c r="A368">
        <v>367</v>
      </c>
      <c r="B368" t="s">
        <v>994</v>
      </c>
      <c r="C368" t="s">
        <v>434</v>
      </c>
      <c r="D368" t="s">
        <v>995</v>
      </c>
    </row>
    <row r="369" spans="1:4" hidden="1" x14ac:dyDescent="0.3">
      <c r="A369">
        <v>368</v>
      </c>
      <c r="B369" t="s">
        <v>994</v>
      </c>
      <c r="C369" t="s">
        <v>435</v>
      </c>
      <c r="D369" t="s">
        <v>996</v>
      </c>
    </row>
    <row r="370" spans="1:4" hidden="1" x14ac:dyDescent="0.3">
      <c r="A370">
        <v>369</v>
      </c>
      <c r="B370" t="s">
        <v>994</v>
      </c>
      <c r="C370" t="s">
        <v>436</v>
      </c>
      <c r="D370" t="s">
        <v>997</v>
      </c>
    </row>
    <row r="371" spans="1:4" hidden="1" x14ac:dyDescent="0.3">
      <c r="A371">
        <v>370</v>
      </c>
      <c r="B371" t="s">
        <v>998</v>
      </c>
      <c r="C371" t="s">
        <v>437</v>
      </c>
      <c r="D371" t="s">
        <v>999</v>
      </c>
    </row>
    <row r="372" spans="1:4" hidden="1" x14ac:dyDescent="0.3">
      <c r="A372">
        <v>371</v>
      </c>
      <c r="B372" t="s">
        <v>1000</v>
      </c>
      <c r="C372" t="s">
        <v>189</v>
      </c>
      <c r="D372" t="s">
        <v>1001</v>
      </c>
    </row>
    <row r="373" spans="1:4" hidden="1" x14ac:dyDescent="0.3">
      <c r="A373">
        <v>372</v>
      </c>
      <c r="B373" t="s">
        <v>1002</v>
      </c>
      <c r="C373" t="s">
        <v>190</v>
      </c>
      <c r="D373" t="s">
        <v>1003</v>
      </c>
    </row>
    <row r="374" spans="1:4" hidden="1" x14ac:dyDescent="0.3">
      <c r="A374">
        <v>373</v>
      </c>
      <c r="B374" t="s">
        <v>1002</v>
      </c>
      <c r="C374" t="s">
        <v>191</v>
      </c>
      <c r="D374" t="s">
        <v>1004</v>
      </c>
    </row>
    <row r="375" spans="1:4" hidden="1" x14ac:dyDescent="0.3">
      <c r="A375">
        <v>374</v>
      </c>
      <c r="B375" t="s">
        <v>1002</v>
      </c>
      <c r="C375" t="s">
        <v>192</v>
      </c>
      <c r="D375" t="s">
        <v>1005</v>
      </c>
    </row>
    <row r="376" spans="1:4" hidden="1" x14ac:dyDescent="0.3">
      <c r="A376">
        <v>375</v>
      </c>
      <c r="B376" t="s">
        <v>1002</v>
      </c>
      <c r="C376" t="s">
        <v>193</v>
      </c>
      <c r="D376" t="s">
        <v>1006</v>
      </c>
    </row>
    <row r="377" spans="1:4" hidden="1" x14ac:dyDescent="0.3">
      <c r="A377">
        <v>376</v>
      </c>
      <c r="B377" t="s">
        <v>1002</v>
      </c>
      <c r="C377" t="s">
        <v>194</v>
      </c>
      <c r="D377" t="s">
        <v>1007</v>
      </c>
    </row>
    <row r="378" spans="1:4" hidden="1" x14ac:dyDescent="0.3">
      <c r="A378">
        <v>377</v>
      </c>
      <c r="B378" t="s">
        <v>1002</v>
      </c>
      <c r="C378" t="s">
        <v>195</v>
      </c>
      <c r="D378" t="s">
        <v>1008</v>
      </c>
    </row>
    <row r="379" spans="1:4" hidden="1" x14ac:dyDescent="0.3">
      <c r="A379">
        <v>378</v>
      </c>
      <c r="B379" t="s">
        <v>1002</v>
      </c>
      <c r="C379" t="s">
        <v>196</v>
      </c>
      <c r="D379" t="s">
        <v>1009</v>
      </c>
    </row>
    <row r="380" spans="1:4" hidden="1" x14ac:dyDescent="0.3">
      <c r="A380">
        <v>379</v>
      </c>
      <c r="B380" t="s">
        <v>1010</v>
      </c>
      <c r="C380" t="s">
        <v>199</v>
      </c>
      <c r="D380" t="s">
        <v>1011</v>
      </c>
    </row>
    <row r="381" spans="1:4" hidden="1" x14ac:dyDescent="0.3">
      <c r="A381">
        <v>380</v>
      </c>
      <c r="B381" t="s">
        <v>1010</v>
      </c>
      <c r="C381" t="s">
        <v>200</v>
      </c>
      <c r="D381" t="s">
        <v>1012</v>
      </c>
    </row>
    <row r="382" spans="1:4" hidden="1" x14ac:dyDescent="0.3">
      <c r="A382">
        <v>381</v>
      </c>
      <c r="B382" t="s">
        <v>1010</v>
      </c>
      <c r="C382" t="s">
        <v>201</v>
      </c>
      <c r="D382" t="s">
        <v>1013</v>
      </c>
    </row>
    <row r="383" spans="1:4" hidden="1" x14ac:dyDescent="0.3">
      <c r="A383">
        <v>382</v>
      </c>
      <c r="B383" t="s">
        <v>1010</v>
      </c>
      <c r="C383" t="s">
        <v>202</v>
      </c>
      <c r="D383" t="s">
        <v>1014</v>
      </c>
    </row>
    <row r="384" spans="1:4" hidden="1" x14ac:dyDescent="0.3">
      <c r="A384">
        <v>383</v>
      </c>
      <c r="B384" t="s">
        <v>1010</v>
      </c>
      <c r="C384" t="s">
        <v>203</v>
      </c>
      <c r="D384" t="s">
        <v>1015</v>
      </c>
    </row>
    <row r="385" spans="1:4" hidden="1" x14ac:dyDescent="0.3">
      <c r="A385">
        <v>384</v>
      </c>
      <c r="B385" t="s">
        <v>1010</v>
      </c>
      <c r="C385" t="s">
        <v>204</v>
      </c>
      <c r="D385" t="s">
        <v>1016</v>
      </c>
    </row>
    <row r="386" spans="1:4" hidden="1" x14ac:dyDescent="0.3">
      <c r="A386">
        <v>385</v>
      </c>
      <c r="B386" t="s">
        <v>1010</v>
      </c>
      <c r="C386" t="s">
        <v>205</v>
      </c>
      <c r="D386" t="s">
        <v>1017</v>
      </c>
    </row>
    <row r="387" spans="1:4" hidden="1" x14ac:dyDescent="0.3">
      <c r="A387">
        <v>386</v>
      </c>
      <c r="B387" t="s">
        <v>1018</v>
      </c>
      <c r="C387" t="s">
        <v>395</v>
      </c>
      <c r="D387" t="s">
        <v>1019</v>
      </c>
    </row>
    <row r="388" spans="1:4" hidden="1" x14ac:dyDescent="0.3">
      <c r="A388">
        <v>387</v>
      </c>
      <c r="B388" t="s">
        <v>1018</v>
      </c>
      <c r="C388" t="s">
        <v>396</v>
      </c>
      <c r="D388" t="s">
        <v>1020</v>
      </c>
    </row>
    <row r="389" spans="1:4" hidden="1" x14ac:dyDescent="0.3">
      <c r="A389">
        <v>388</v>
      </c>
      <c r="B389" t="s">
        <v>1018</v>
      </c>
      <c r="C389" t="s">
        <v>397</v>
      </c>
      <c r="D389" t="s">
        <v>1021</v>
      </c>
    </row>
    <row r="390" spans="1:4" hidden="1" x14ac:dyDescent="0.3">
      <c r="A390">
        <v>389</v>
      </c>
      <c r="B390" t="s">
        <v>1018</v>
      </c>
      <c r="C390" t="s">
        <v>398</v>
      </c>
      <c r="D390" t="s">
        <v>1022</v>
      </c>
    </row>
    <row r="391" spans="1:4" hidden="1" x14ac:dyDescent="0.3">
      <c r="A391">
        <v>390</v>
      </c>
      <c r="B391" t="s">
        <v>1018</v>
      </c>
      <c r="C391" t="s">
        <v>399</v>
      </c>
      <c r="D391" t="s">
        <v>1023</v>
      </c>
    </row>
    <row r="392" spans="1:4" hidden="1" x14ac:dyDescent="0.3">
      <c r="A392">
        <v>391</v>
      </c>
      <c r="B392" t="s">
        <v>1018</v>
      </c>
      <c r="C392" t="s">
        <v>400</v>
      </c>
      <c r="D392" t="s">
        <v>1024</v>
      </c>
    </row>
    <row r="393" spans="1:4" hidden="1" x14ac:dyDescent="0.3">
      <c r="A393">
        <v>392</v>
      </c>
      <c r="B393" t="s">
        <v>1018</v>
      </c>
      <c r="C393" t="s">
        <v>401</v>
      </c>
      <c r="D393" t="s">
        <v>1025</v>
      </c>
    </row>
    <row r="394" spans="1:4" hidden="1" x14ac:dyDescent="0.3">
      <c r="A394">
        <v>393</v>
      </c>
      <c r="B394" t="s">
        <v>1018</v>
      </c>
      <c r="C394" t="s">
        <v>402</v>
      </c>
      <c r="D394" t="s">
        <v>1026</v>
      </c>
    </row>
    <row r="395" spans="1:4" hidden="1" x14ac:dyDescent="0.3">
      <c r="A395">
        <v>394</v>
      </c>
      <c r="B395" t="s">
        <v>1027</v>
      </c>
      <c r="C395" t="s">
        <v>403</v>
      </c>
      <c r="D395" t="s">
        <v>1028</v>
      </c>
    </row>
    <row r="396" spans="1:4" hidden="1" x14ac:dyDescent="0.3">
      <c r="A396">
        <v>395</v>
      </c>
      <c r="B396" t="s">
        <v>1027</v>
      </c>
      <c r="C396" t="s">
        <v>404</v>
      </c>
      <c r="D396" t="s">
        <v>1029</v>
      </c>
    </row>
    <row r="397" spans="1:4" hidden="1" x14ac:dyDescent="0.3">
      <c r="A397">
        <v>396</v>
      </c>
      <c r="B397" t="s">
        <v>1027</v>
      </c>
      <c r="C397" t="s">
        <v>405</v>
      </c>
      <c r="D397" t="s">
        <v>1030</v>
      </c>
    </row>
    <row r="398" spans="1:4" hidden="1" x14ac:dyDescent="0.3">
      <c r="A398">
        <v>397</v>
      </c>
      <c r="B398" t="s">
        <v>1027</v>
      </c>
      <c r="C398" t="s">
        <v>406</v>
      </c>
      <c r="D398" t="s">
        <v>1031</v>
      </c>
    </row>
    <row r="399" spans="1:4" hidden="1" x14ac:dyDescent="0.3">
      <c r="A399">
        <v>398</v>
      </c>
      <c r="B399" t="s">
        <v>1027</v>
      </c>
      <c r="C399" t="s">
        <v>407</v>
      </c>
      <c r="D399" t="s">
        <v>1032</v>
      </c>
    </row>
    <row r="400" spans="1:4" hidden="1" x14ac:dyDescent="0.3">
      <c r="A400">
        <v>399</v>
      </c>
      <c r="B400" t="s">
        <v>1027</v>
      </c>
      <c r="C400" t="s">
        <v>408</v>
      </c>
      <c r="D400" t="s">
        <v>1033</v>
      </c>
    </row>
    <row r="401" spans="1:4" hidden="1" x14ac:dyDescent="0.3">
      <c r="A401">
        <v>400</v>
      </c>
      <c r="B401" t="s">
        <v>1027</v>
      </c>
      <c r="C401" t="s">
        <v>409</v>
      </c>
      <c r="D401" t="s">
        <v>1034</v>
      </c>
    </row>
    <row r="402" spans="1:4" hidden="1" x14ac:dyDescent="0.3">
      <c r="A402">
        <v>401</v>
      </c>
      <c r="B402" t="s">
        <v>1035</v>
      </c>
      <c r="C402" t="s">
        <v>414</v>
      </c>
      <c r="D402" t="s">
        <v>1036</v>
      </c>
    </row>
    <row r="403" spans="1:4" hidden="1" x14ac:dyDescent="0.3">
      <c r="A403">
        <v>402</v>
      </c>
      <c r="B403" t="s">
        <v>1035</v>
      </c>
      <c r="C403" t="s">
        <v>415</v>
      </c>
      <c r="D403" t="s">
        <v>1037</v>
      </c>
    </row>
    <row r="404" spans="1:4" hidden="1" x14ac:dyDescent="0.3">
      <c r="A404">
        <v>403</v>
      </c>
      <c r="B404" t="s">
        <v>1035</v>
      </c>
      <c r="C404" t="s">
        <v>416</v>
      </c>
      <c r="D404" t="s">
        <v>1038</v>
      </c>
    </row>
    <row r="405" spans="1:4" hidden="1" x14ac:dyDescent="0.3">
      <c r="A405">
        <v>404</v>
      </c>
      <c r="B405" t="s">
        <v>1035</v>
      </c>
      <c r="C405" t="s">
        <v>417</v>
      </c>
      <c r="D405" t="s">
        <v>1039</v>
      </c>
    </row>
    <row r="406" spans="1:4" hidden="1" x14ac:dyDescent="0.3">
      <c r="A406">
        <v>405</v>
      </c>
      <c r="B406" t="s">
        <v>1035</v>
      </c>
      <c r="C406" t="s">
        <v>418</v>
      </c>
      <c r="D406" t="s">
        <v>1040</v>
      </c>
    </row>
    <row r="407" spans="1:4" hidden="1" x14ac:dyDescent="0.3">
      <c r="A407">
        <v>406</v>
      </c>
      <c r="B407" t="s">
        <v>1035</v>
      </c>
      <c r="C407" t="s">
        <v>419</v>
      </c>
      <c r="D407" t="s">
        <v>1041</v>
      </c>
    </row>
    <row r="408" spans="1:4" hidden="1" x14ac:dyDescent="0.3">
      <c r="A408">
        <v>407</v>
      </c>
      <c r="B408" t="s">
        <v>1035</v>
      </c>
      <c r="C408" t="s">
        <v>420</v>
      </c>
      <c r="D408" t="s">
        <v>1042</v>
      </c>
    </row>
    <row r="409" spans="1:4" hidden="1" x14ac:dyDescent="0.3">
      <c r="A409">
        <v>408</v>
      </c>
      <c r="B409" t="s">
        <v>1035</v>
      </c>
      <c r="C409" t="s">
        <v>421</v>
      </c>
      <c r="D409" t="s">
        <v>1043</v>
      </c>
    </row>
    <row r="410" spans="1:4" hidden="1" x14ac:dyDescent="0.3">
      <c r="A410">
        <v>409</v>
      </c>
      <c r="B410" t="s">
        <v>1035</v>
      </c>
      <c r="C410" t="s">
        <v>422</v>
      </c>
      <c r="D410" t="s">
        <v>1044</v>
      </c>
    </row>
    <row r="411" spans="1:4" hidden="1" x14ac:dyDescent="0.3">
      <c r="A411">
        <v>410</v>
      </c>
      <c r="B411" t="s">
        <v>1035</v>
      </c>
      <c r="C411" t="s">
        <v>423</v>
      </c>
      <c r="D411" t="s">
        <v>1045</v>
      </c>
    </row>
    <row r="412" spans="1:4" hidden="1" x14ac:dyDescent="0.3">
      <c r="A412">
        <v>411</v>
      </c>
      <c r="B412" t="s">
        <v>1035</v>
      </c>
      <c r="C412" t="s">
        <v>424</v>
      </c>
      <c r="D412" t="s">
        <v>1046</v>
      </c>
    </row>
    <row r="413" spans="1:4" hidden="1" x14ac:dyDescent="0.3">
      <c r="A413">
        <v>412</v>
      </c>
      <c r="B413" t="s">
        <v>1035</v>
      </c>
      <c r="C413" t="s">
        <v>425</v>
      </c>
      <c r="D413" t="s">
        <v>1047</v>
      </c>
    </row>
    <row r="414" spans="1:4" hidden="1" x14ac:dyDescent="0.3">
      <c r="A414">
        <v>413</v>
      </c>
      <c r="B414" t="s">
        <v>1035</v>
      </c>
      <c r="C414" t="s">
        <v>426</v>
      </c>
      <c r="D414" t="s">
        <v>1048</v>
      </c>
    </row>
    <row r="415" spans="1:4" hidden="1" x14ac:dyDescent="0.3">
      <c r="A415">
        <v>414</v>
      </c>
      <c r="B415" t="s">
        <v>1035</v>
      </c>
      <c r="C415" t="s">
        <v>427</v>
      </c>
      <c r="D415" t="s">
        <v>1049</v>
      </c>
    </row>
    <row r="416" spans="1:4" hidden="1" x14ac:dyDescent="0.3">
      <c r="A416">
        <v>415</v>
      </c>
      <c r="B416" t="s">
        <v>1035</v>
      </c>
      <c r="C416" t="s">
        <v>428</v>
      </c>
      <c r="D416" t="s">
        <v>1050</v>
      </c>
    </row>
    <row r="417" spans="1:4" hidden="1" x14ac:dyDescent="0.3">
      <c r="A417">
        <v>416</v>
      </c>
      <c r="B417" t="s">
        <v>1035</v>
      </c>
      <c r="C417" t="s">
        <v>429</v>
      </c>
      <c r="D417" t="s">
        <v>1051</v>
      </c>
    </row>
    <row r="418" spans="1:4" hidden="1" x14ac:dyDescent="0.3">
      <c r="A418">
        <v>417</v>
      </c>
      <c r="B418" t="s">
        <v>1035</v>
      </c>
      <c r="C418" t="s">
        <v>430</v>
      </c>
      <c r="D418" t="s">
        <v>1052</v>
      </c>
    </row>
    <row r="419" spans="1:4" hidden="1" x14ac:dyDescent="0.3">
      <c r="A419">
        <v>418</v>
      </c>
      <c r="B419" t="s">
        <v>1035</v>
      </c>
      <c r="C419" t="s">
        <v>431</v>
      </c>
      <c r="D419" t="s">
        <v>1053</v>
      </c>
    </row>
    <row r="420" spans="1:4" hidden="1" x14ac:dyDescent="0.3">
      <c r="A420">
        <v>419</v>
      </c>
      <c r="B420" t="s">
        <v>1035</v>
      </c>
      <c r="C420" t="s">
        <v>432</v>
      </c>
      <c r="D420" t="s">
        <v>1054</v>
      </c>
    </row>
    <row r="421" spans="1:4" hidden="1" x14ac:dyDescent="0.3">
      <c r="A421">
        <v>420</v>
      </c>
      <c r="B421" t="s">
        <v>1035</v>
      </c>
      <c r="C421" t="s">
        <v>433</v>
      </c>
      <c r="D421" t="s">
        <v>1055</v>
      </c>
    </row>
  </sheetData>
  <autoFilter ref="A1:D421" xr:uid="{298EE7B6-A704-4366-86E5-B86C1F928EEE}">
    <filterColumn colId="1">
      <filters>
        <filter val="Include\Vendors\Anhnt\Library\4. Combination Lib\Collections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13AE-AFAD-4AD1-A1B0-63F4BC149B1E}">
  <sheetPr codeName="Sheet11">
    <tabColor rgb="FFFFFF00"/>
  </sheetPr>
  <dimension ref="A1:D1"/>
  <sheetViews>
    <sheetView workbookViewId="0">
      <selection activeCell="D67" sqref="D67"/>
    </sheetView>
  </sheetViews>
  <sheetFormatPr defaultRowHeight="14.4" x14ac:dyDescent="0.3"/>
  <cols>
    <col min="1" max="1" width="3.88671875" style="10" bestFit="1" customWidth="1"/>
    <col min="2" max="2" width="39.33203125" style="10" customWidth="1"/>
    <col min="3" max="3" width="28.77734375" style="10" customWidth="1"/>
    <col min="4" max="4" width="73.33203125" style="10" bestFit="1" customWidth="1"/>
    <col min="5" max="16384" width="8.88671875" style="12"/>
  </cols>
  <sheetData>
    <row r="1" spans="1:4" x14ac:dyDescent="0.3">
      <c r="A1" s="11" t="s">
        <v>13</v>
      </c>
      <c r="B1" s="11" t="s">
        <v>108</v>
      </c>
      <c r="C1" s="11" t="s">
        <v>44</v>
      </c>
      <c r="D1" s="11" t="s">
        <v>109</v>
      </c>
    </row>
  </sheetData>
  <autoFilter ref="A1:D1" xr:uid="{34F313AE-AFAD-4AD1-A1B0-63F4BC149B1E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60E76-15E9-4D29-A616-64C8D0F4780D}">
  <sheetPr codeName="Sheet12">
    <tabColor rgb="FFFF0000"/>
  </sheetPr>
  <dimension ref="A1:D13"/>
  <sheetViews>
    <sheetView workbookViewId="0">
      <selection activeCell="A2" sqref="A2:XFD4"/>
    </sheetView>
  </sheetViews>
  <sheetFormatPr defaultRowHeight="14.4" x14ac:dyDescent="0.3"/>
  <cols>
    <col min="1" max="1" width="3.88671875" bestFit="1" customWidth="1"/>
    <col min="2" max="2" width="121.44140625" bestFit="1" customWidth="1"/>
    <col min="3" max="3" width="42.2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</row>
    <row r="2" spans="1:4" x14ac:dyDescent="0.3">
      <c r="A2">
        <v>1</v>
      </c>
      <c r="B2" t="s">
        <v>142</v>
      </c>
      <c r="C2" t="s">
        <v>143</v>
      </c>
      <c r="D2" t="s">
        <v>131</v>
      </c>
    </row>
    <row r="3" spans="1:4" x14ac:dyDescent="0.3">
      <c r="A3">
        <v>2</v>
      </c>
      <c r="B3" t="s">
        <v>144</v>
      </c>
      <c r="C3" t="s">
        <v>145</v>
      </c>
      <c r="D3" t="s">
        <v>131</v>
      </c>
    </row>
    <row r="4" spans="1:4" x14ac:dyDescent="0.3">
      <c r="A4">
        <v>3</v>
      </c>
      <c r="B4" t="s">
        <v>146</v>
      </c>
      <c r="C4" t="s">
        <v>147</v>
      </c>
      <c r="D4" t="s">
        <v>131</v>
      </c>
    </row>
    <row r="5" spans="1:4" x14ac:dyDescent="0.3">
      <c r="A5">
        <v>4</v>
      </c>
      <c r="B5" t="s">
        <v>148</v>
      </c>
      <c r="C5" t="s">
        <v>149</v>
      </c>
      <c r="D5" t="s">
        <v>131</v>
      </c>
    </row>
    <row r="6" spans="1:4" x14ac:dyDescent="0.3">
      <c r="A6">
        <v>5</v>
      </c>
      <c r="B6" t="s">
        <v>150</v>
      </c>
      <c r="C6" t="s">
        <v>151</v>
      </c>
      <c r="D6" t="s">
        <v>131</v>
      </c>
    </row>
    <row r="7" spans="1:4" x14ac:dyDescent="0.3">
      <c r="A7">
        <v>6</v>
      </c>
      <c r="B7" t="s">
        <v>152</v>
      </c>
      <c r="C7" t="s">
        <v>153</v>
      </c>
      <c r="D7" t="s">
        <v>131</v>
      </c>
    </row>
    <row r="8" spans="1:4" x14ac:dyDescent="0.3">
      <c r="A8">
        <v>7</v>
      </c>
      <c r="B8" t="s">
        <v>152</v>
      </c>
      <c r="C8" t="s">
        <v>154</v>
      </c>
      <c r="D8" t="s">
        <v>131</v>
      </c>
    </row>
    <row r="9" spans="1:4" x14ac:dyDescent="0.3">
      <c r="A9">
        <v>8</v>
      </c>
      <c r="B9" t="s">
        <v>152</v>
      </c>
      <c r="C9" t="s">
        <v>155</v>
      </c>
      <c r="D9" t="s">
        <v>131</v>
      </c>
    </row>
    <row r="10" spans="1:4" x14ac:dyDescent="0.3">
      <c r="A10">
        <v>9</v>
      </c>
      <c r="B10" t="s">
        <v>152</v>
      </c>
      <c r="C10" t="s">
        <v>156</v>
      </c>
      <c r="D10" t="s">
        <v>131</v>
      </c>
    </row>
    <row r="11" spans="1:4" x14ac:dyDescent="0.3">
      <c r="A11">
        <v>10</v>
      </c>
      <c r="B11" t="s">
        <v>152</v>
      </c>
      <c r="C11" t="s">
        <v>157</v>
      </c>
      <c r="D11" t="s">
        <v>131</v>
      </c>
    </row>
    <row r="12" spans="1:4" x14ac:dyDescent="0.3">
      <c r="A12">
        <v>11</v>
      </c>
      <c r="B12" t="s">
        <v>158</v>
      </c>
      <c r="C12" t="s">
        <v>159</v>
      </c>
      <c r="D12" t="s">
        <v>131</v>
      </c>
    </row>
    <row r="13" spans="1:4" x14ac:dyDescent="0.3">
      <c r="A13">
        <v>12</v>
      </c>
      <c r="B13" t="s">
        <v>160</v>
      </c>
      <c r="C13" t="s">
        <v>161</v>
      </c>
      <c r="D13" t="s">
        <v>131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theme="9"/>
  </sheetPr>
  <dimension ref="A1:G12"/>
  <sheetViews>
    <sheetView workbookViewId="0">
      <selection activeCell="E5" sqref="E5"/>
    </sheetView>
  </sheetViews>
  <sheetFormatPr defaultRowHeight="14.4" x14ac:dyDescent="0.3"/>
  <cols>
    <col min="1" max="2" width="8.88671875" style="10"/>
    <col min="3" max="3" width="52.88671875" style="10" customWidth="1"/>
    <col min="4" max="4" width="19.109375" style="10" bestFit="1" customWidth="1"/>
    <col min="5" max="5" width="64.5546875" style="10" customWidth="1"/>
    <col min="6" max="6" width="27.33203125" style="10" customWidth="1"/>
    <col min="7" max="7" width="8.88671875" style="10"/>
  </cols>
  <sheetData>
    <row r="1" spans="1:6" x14ac:dyDescent="0.3">
      <c r="A1" s="11" t="s">
        <v>13</v>
      </c>
      <c r="B1" s="11" t="s">
        <v>98</v>
      </c>
      <c r="C1" s="11" t="s">
        <v>43</v>
      </c>
      <c r="D1" s="11" t="s">
        <v>96</v>
      </c>
      <c r="E1" s="11"/>
      <c r="F1" s="11"/>
    </row>
    <row r="2" spans="1:6" ht="57.6" x14ac:dyDescent="0.3">
      <c r="A2" s="10">
        <v>1</v>
      </c>
      <c r="B2" s="10" t="s">
        <v>0</v>
      </c>
      <c r="C2" s="10" t="s">
        <v>95</v>
      </c>
      <c r="D2" s="10" t="s">
        <v>1</v>
      </c>
      <c r="E2" s="10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10" t="s">
        <v>97</v>
      </c>
    </row>
    <row r="3" spans="1:6" ht="57.6" x14ac:dyDescent="0.3">
      <c r="A3" s="10">
        <v>2</v>
      </c>
      <c r="B3" s="10" t="s">
        <v>0</v>
      </c>
      <c r="C3" s="10" t="s">
        <v>95</v>
      </c>
      <c r="D3" s="10" t="s">
        <v>99</v>
      </c>
      <c r="E3" s="10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10" t="s">
        <v>97</v>
      </c>
    </row>
    <row r="4" spans="1:6" ht="57.6" x14ac:dyDescent="0.3">
      <c r="A4" s="10">
        <v>3</v>
      </c>
      <c r="B4" s="10" t="s">
        <v>0</v>
      </c>
      <c r="C4" s="10" t="s">
        <v>95</v>
      </c>
      <c r="D4" s="10" t="s">
        <v>11</v>
      </c>
      <c r="E4" s="10" t="str">
        <f t="shared" si="0"/>
        <v>mklink /J "C:\Users\nguye\AppData\Roaming\MetaQuotes\Terminal\D0E8209F77C8CF37AD8BF550E51FF075\MQL5\Experts\Anatoli Kazharski" "D:\MT5-Dev\Experts\Anatoli Kazharski"</v>
      </c>
      <c r="F4" s="10" t="s">
        <v>97</v>
      </c>
    </row>
    <row r="5" spans="1:6" ht="43.2" x14ac:dyDescent="0.3">
      <c r="A5" s="10">
        <v>4</v>
      </c>
      <c r="B5" s="10" t="s">
        <v>0</v>
      </c>
      <c r="C5" s="10" t="s">
        <v>95</v>
      </c>
      <c r="D5" s="10" t="s">
        <v>101</v>
      </c>
      <c r="E5" s="10" t="str">
        <f t="shared" si="0"/>
        <v>mklink /J "C:\Users\nguye\AppData\Roaming\MetaQuotes\Terminal\D0E8209F77C8CF37AD8BF550E51FF075\MQL5\Experts\Anhnt" "D:\MT5-Dev\Experts\Anhnt"</v>
      </c>
      <c r="F5" s="10" t="s">
        <v>97</v>
      </c>
    </row>
    <row r="6" spans="1:6" ht="57.6" x14ac:dyDescent="0.3">
      <c r="A6" s="10">
        <v>5</v>
      </c>
      <c r="B6" s="10" t="s">
        <v>0</v>
      </c>
      <c r="C6" s="10" t="s">
        <v>95</v>
      </c>
      <c r="D6" s="10" t="s">
        <v>15</v>
      </c>
      <c r="E6" s="10" t="str">
        <f t="shared" si="0"/>
        <v>mklink /J "C:\Users\nguye\AppData\Roaming\MetaQuotes\Terminal\D0E8209F77C8CF37AD8BF550E51FF075\MQL5\Experts\Artyom Trishkin" "D:\MT5-Dev\Experts\Artyom Trishkin"</v>
      </c>
      <c r="F6" s="10" t="s">
        <v>97</v>
      </c>
    </row>
    <row r="7" spans="1:6" ht="57.6" x14ac:dyDescent="0.3">
      <c r="A7" s="10">
        <v>6</v>
      </c>
      <c r="B7" s="10" t="s">
        <v>0</v>
      </c>
      <c r="C7" s="10" t="s">
        <v>95</v>
      </c>
      <c r="D7" s="10" t="s">
        <v>102</v>
      </c>
      <c r="E7" s="10" t="str">
        <f t="shared" si="0"/>
        <v>mklink /J "C:\Users\nguye\AppData\Roaming\MetaQuotes\Terminal\D0E8209F77C8CF37AD8BF550E51FF075\MQL5\Experts\Chacha Ian Maroa" "D:\MT5-Dev\Experts\Chacha Ian Maroa"</v>
      </c>
      <c r="F7" s="10" t="s">
        <v>97</v>
      </c>
    </row>
    <row r="8" spans="1:6" ht="57.6" x14ac:dyDescent="0.3">
      <c r="A8" s="10">
        <v>7</v>
      </c>
      <c r="B8" s="10" t="s">
        <v>0</v>
      </c>
      <c r="C8" s="10" t="s">
        <v>95</v>
      </c>
      <c r="D8" s="10" t="s">
        <v>103</v>
      </c>
      <c r="E8" s="10" t="str">
        <f t="shared" si="0"/>
        <v>mklink /J "C:\Users\nguye\AppData\Roaming\MetaQuotes\Terminal\D0E8209F77C8CF37AD8BF550E51FF075\MQL5\Experts\Christian Benjamin" "D:\MT5-Dev\Experts\Christian Benjamin"</v>
      </c>
      <c r="F8" s="10" t="s">
        <v>97</v>
      </c>
    </row>
    <row r="9" spans="1:6" ht="57.6" x14ac:dyDescent="0.3">
      <c r="A9" s="10">
        <v>8</v>
      </c>
      <c r="B9" s="10" t="s">
        <v>0</v>
      </c>
      <c r="C9" s="10" t="s">
        <v>95</v>
      </c>
      <c r="D9" s="10" t="s">
        <v>104</v>
      </c>
      <c r="E9" s="10" t="str">
        <f t="shared" si="0"/>
        <v>mklink /J "C:\Users\nguye\AppData\Roaming\MetaQuotes\Terminal\D0E8209F77C8CF37AD8BF550E51FF075\MQL5\Experts\Clemence Benjamin" "D:\MT5-Dev\Experts\Clemence Benjamin"</v>
      </c>
      <c r="F9" s="10" t="s">
        <v>97</v>
      </c>
    </row>
    <row r="10" spans="1:6" ht="57.6" x14ac:dyDescent="0.3">
      <c r="A10" s="10">
        <v>9</v>
      </c>
      <c r="B10" s="10" t="s">
        <v>0</v>
      </c>
      <c r="C10" s="10" t="s">
        <v>95</v>
      </c>
      <c r="D10" s="10" t="s">
        <v>105</v>
      </c>
      <c r="E10" s="10" t="str">
        <f t="shared" si="0"/>
        <v>mklink /J "C:\Users\nguye\AppData\Roaming\MetaQuotes\Terminal\D0E8209F77C8CF37AD8BF550E51FF075\MQL5\Experts\Dmitry Voronkov" "D:\MT5-Dev\Experts\Dmitry Voronkov"</v>
      </c>
      <c r="F10" s="10" t="s">
        <v>97</v>
      </c>
    </row>
    <row r="11" spans="1:6" ht="57.6" x14ac:dyDescent="0.3">
      <c r="A11" s="10">
        <v>10</v>
      </c>
      <c r="B11" s="10" t="s">
        <v>0</v>
      </c>
      <c r="C11" s="10" t="s">
        <v>95</v>
      </c>
      <c r="D11" s="10" t="s">
        <v>106</v>
      </c>
      <c r="E11" s="10" t="str">
        <f t="shared" si="0"/>
        <v>mklink /J "C:\Users\nguye\AppData\Roaming\MetaQuotes\Terminal\D0E8209F77C8CF37AD8BF550E51FF075\MQL5\Experts\Hlomohang John Borotho" "D:\MT5-Dev\Experts\Hlomohang John Borotho"</v>
      </c>
      <c r="F11" s="10" t="s">
        <v>97</v>
      </c>
    </row>
    <row r="12" spans="1:6" ht="57.6" x14ac:dyDescent="0.3">
      <c r="B12" s="10" t="s">
        <v>0</v>
      </c>
      <c r="C12" s="10" t="s">
        <v>95</v>
      </c>
      <c r="D12" s="10" t="s">
        <v>107</v>
      </c>
      <c r="E12" s="10" t="str">
        <f t="shared" si="0"/>
        <v>mklink /J "C:\Users\nguye\AppData\Roaming\MetaQuotes\Terminal\D0E8209F77C8CF37AD8BF550E51FF075\MQL5\Experts\joaopedrodev" "D:\MT5-Dev\Experts\joaopedrodev"</v>
      </c>
      <c r="F12" s="10" t="s">
        <v>97</v>
      </c>
    </row>
  </sheetData>
  <conditionalFormatting sqref="A1:F1048576">
    <cfRule type="expression" dxfId="1" priority="3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 filterMode="1">
    <tabColor rgb="FF00B050"/>
  </sheetPr>
  <dimension ref="A1:G458"/>
  <sheetViews>
    <sheetView workbookViewId="0">
      <pane ySplit="1" topLeftCell="A199" activePane="bottomLeft" state="frozen"/>
      <selection pane="bottomLeft" activeCell="E417" sqref="E417"/>
    </sheetView>
  </sheetViews>
  <sheetFormatPr defaultRowHeight="14.4" x14ac:dyDescent="0.3"/>
  <cols>
    <col min="1" max="1" width="6.109375" style="10" bestFit="1" customWidth="1"/>
    <col min="2" max="2" width="46.88671875" style="10" customWidth="1"/>
    <col min="3" max="3" width="30.109375" style="10" bestFit="1" customWidth="1"/>
    <col min="4" max="4" width="47.5546875" style="10" customWidth="1"/>
    <col min="5" max="5" width="27.33203125" style="10" customWidth="1"/>
    <col min="6" max="6" width="43.109375" style="10" bestFit="1" customWidth="1"/>
    <col min="7" max="7" width="50.77734375" style="10" customWidth="1"/>
    <col min="8" max="8" width="30.77734375" customWidth="1"/>
  </cols>
  <sheetData>
    <row r="1" spans="1:7" s="9" customFormat="1" x14ac:dyDescent="0.3">
      <c r="A1" s="11" t="s">
        <v>13</v>
      </c>
      <c r="B1" s="11" t="s">
        <v>42</v>
      </c>
      <c r="C1" s="11" t="s">
        <v>117</v>
      </c>
      <c r="D1" s="11" t="s">
        <v>41</v>
      </c>
      <c r="E1" s="11" t="s">
        <v>40</v>
      </c>
      <c r="F1" s="11" t="s">
        <v>116</v>
      </c>
      <c r="G1" s="11" t="s">
        <v>118</v>
      </c>
    </row>
    <row r="2" spans="1:7" ht="28.8" hidden="1" x14ac:dyDescent="0.3">
      <c r="A2" s="10">
        <v>1</v>
      </c>
      <c r="B2" s="10" t="s">
        <v>43</v>
      </c>
      <c r="C2" s="10" t="s">
        <v>456</v>
      </c>
      <c r="D2" s="10" t="s">
        <v>1057</v>
      </c>
      <c r="E2" s="10" t="s">
        <v>1058</v>
      </c>
      <c r="F2" s="10" t="s">
        <v>1059</v>
      </c>
      <c r="G2" s="10" t="s">
        <v>457</v>
      </c>
    </row>
    <row r="3" spans="1:7" ht="28.8" hidden="1" x14ac:dyDescent="0.3">
      <c r="A3" s="10">
        <v>2</v>
      </c>
      <c r="B3" s="10" t="s">
        <v>43</v>
      </c>
      <c r="C3" s="10" t="s">
        <v>122</v>
      </c>
      <c r="D3" s="10" t="s">
        <v>1060</v>
      </c>
      <c r="E3" s="10" t="s">
        <v>1058</v>
      </c>
      <c r="F3" s="10" t="s">
        <v>1061</v>
      </c>
      <c r="G3" s="10" t="s">
        <v>458</v>
      </c>
    </row>
    <row r="4" spans="1:7" ht="28.8" hidden="1" x14ac:dyDescent="0.3">
      <c r="A4" s="10">
        <v>3</v>
      </c>
      <c r="B4" s="10" t="s">
        <v>43</v>
      </c>
      <c r="C4" s="10" t="s">
        <v>459</v>
      </c>
      <c r="D4" s="10" t="s">
        <v>1062</v>
      </c>
      <c r="E4" s="10" t="s">
        <v>1060</v>
      </c>
      <c r="F4" s="10" t="s">
        <v>1063</v>
      </c>
      <c r="G4" s="10" t="s">
        <v>460</v>
      </c>
    </row>
    <row r="5" spans="1:7" ht="28.8" hidden="1" x14ac:dyDescent="0.3">
      <c r="A5" s="10">
        <v>4</v>
      </c>
      <c r="B5" s="10" t="s">
        <v>43</v>
      </c>
      <c r="C5" s="10" t="s">
        <v>461</v>
      </c>
      <c r="D5" s="10" t="s">
        <v>1064</v>
      </c>
      <c r="E5" s="10" t="s">
        <v>1058</v>
      </c>
      <c r="F5" s="10" t="s">
        <v>1065</v>
      </c>
      <c r="G5" s="10" t="s">
        <v>462</v>
      </c>
    </row>
    <row r="6" spans="1:7" ht="28.8" hidden="1" x14ac:dyDescent="0.3">
      <c r="A6" s="10">
        <v>5</v>
      </c>
      <c r="B6" s="10" t="s">
        <v>1066</v>
      </c>
      <c r="C6" s="10" t="s">
        <v>197</v>
      </c>
      <c r="D6" s="10" t="s">
        <v>1067</v>
      </c>
      <c r="E6" s="10" t="s">
        <v>1062</v>
      </c>
      <c r="F6" s="10" t="s">
        <v>1068</v>
      </c>
      <c r="G6" s="10" t="s">
        <v>464</v>
      </c>
    </row>
    <row r="7" spans="1:7" ht="28.8" hidden="1" x14ac:dyDescent="0.3">
      <c r="A7" s="10">
        <v>6</v>
      </c>
      <c r="B7" s="10" t="s">
        <v>1066</v>
      </c>
      <c r="C7" s="10" t="s">
        <v>465</v>
      </c>
      <c r="D7" s="10" t="s">
        <v>1069</v>
      </c>
      <c r="E7" s="10" t="s">
        <v>1058</v>
      </c>
      <c r="F7" s="10" t="s">
        <v>1070</v>
      </c>
      <c r="G7" s="10" t="s">
        <v>466</v>
      </c>
    </row>
    <row r="8" spans="1:7" ht="28.8" hidden="1" x14ac:dyDescent="0.3">
      <c r="A8" s="10">
        <v>7</v>
      </c>
      <c r="B8" s="10" t="s">
        <v>1066</v>
      </c>
      <c r="C8" s="10" t="s">
        <v>198</v>
      </c>
      <c r="D8" s="10" t="s">
        <v>1071</v>
      </c>
      <c r="E8" s="10" t="s">
        <v>1062</v>
      </c>
      <c r="F8" s="10" t="s">
        <v>1072</v>
      </c>
      <c r="G8" s="10" t="s">
        <v>467</v>
      </c>
    </row>
    <row r="9" spans="1:7" ht="28.8" hidden="1" x14ac:dyDescent="0.3">
      <c r="A9" s="10">
        <v>8</v>
      </c>
      <c r="B9" s="10" t="s">
        <v>1066</v>
      </c>
      <c r="C9" s="10" t="s">
        <v>468</v>
      </c>
      <c r="D9" s="10" t="s">
        <v>1073</v>
      </c>
      <c r="E9" s="10" t="s">
        <v>1058</v>
      </c>
      <c r="F9" s="10" t="s">
        <v>1074</v>
      </c>
      <c r="G9" s="10" t="s">
        <v>469</v>
      </c>
    </row>
    <row r="10" spans="1:7" ht="28.8" hidden="1" x14ac:dyDescent="0.3">
      <c r="A10" s="10">
        <v>9</v>
      </c>
      <c r="B10" s="10" t="s">
        <v>1075</v>
      </c>
      <c r="C10" s="10" t="s">
        <v>174</v>
      </c>
      <c r="D10" s="10" t="s">
        <v>1076</v>
      </c>
      <c r="E10" s="10" t="s">
        <v>1062</v>
      </c>
      <c r="F10" s="10" t="s">
        <v>1077</v>
      </c>
      <c r="G10" s="10" t="s">
        <v>471</v>
      </c>
    </row>
    <row r="11" spans="1:7" ht="28.8" hidden="1" x14ac:dyDescent="0.3">
      <c r="A11" s="10">
        <v>10</v>
      </c>
      <c r="B11" s="10" t="s">
        <v>1075</v>
      </c>
      <c r="C11" s="10" t="s">
        <v>472</v>
      </c>
      <c r="D11" s="10" t="s">
        <v>1078</v>
      </c>
      <c r="E11" s="10" t="s">
        <v>1062</v>
      </c>
      <c r="F11" s="10" t="s">
        <v>1079</v>
      </c>
      <c r="G11" s="10" t="s">
        <v>473</v>
      </c>
    </row>
    <row r="12" spans="1:7" ht="28.8" hidden="1" x14ac:dyDescent="0.3">
      <c r="A12" s="10">
        <v>11</v>
      </c>
      <c r="B12" s="10" t="s">
        <v>1075</v>
      </c>
      <c r="C12" s="10" t="s">
        <v>175</v>
      </c>
      <c r="D12" s="10" t="s">
        <v>1080</v>
      </c>
      <c r="E12" s="10" t="s">
        <v>1060</v>
      </c>
      <c r="F12" s="10" t="s">
        <v>1081</v>
      </c>
      <c r="G12" s="10" t="s">
        <v>474</v>
      </c>
    </row>
    <row r="13" spans="1:7" ht="28.8" hidden="1" x14ac:dyDescent="0.3">
      <c r="A13" s="10">
        <v>12</v>
      </c>
      <c r="B13" s="10" t="s">
        <v>1075</v>
      </c>
      <c r="C13" s="10" t="s">
        <v>176</v>
      </c>
      <c r="D13" s="10" t="s">
        <v>1082</v>
      </c>
      <c r="E13" s="10" t="s">
        <v>1058</v>
      </c>
      <c r="F13" s="10" t="s">
        <v>1083</v>
      </c>
      <c r="G13" s="10" t="s">
        <v>475</v>
      </c>
    </row>
    <row r="14" spans="1:7" ht="28.8" hidden="1" x14ac:dyDescent="0.3">
      <c r="A14" s="10">
        <v>13</v>
      </c>
      <c r="B14" s="10" t="s">
        <v>1075</v>
      </c>
      <c r="C14" s="10" t="s">
        <v>187</v>
      </c>
      <c r="D14" s="10" t="s">
        <v>1084</v>
      </c>
      <c r="E14" s="10" t="s">
        <v>1062</v>
      </c>
      <c r="F14" s="10" t="s">
        <v>1085</v>
      </c>
      <c r="G14" s="10" t="s">
        <v>476</v>
      </c>
    </row>
    <row r="15" spans="1:7" ht="28.8" hidden="1" x14ac:dyDescent="0.3">
      <c r="A15" s="10">
        <v>14</v>
      </c>
      <c r="B15" s="10" t="s">
        <v>1075</v>
      </c>
      <c r="C15" s="10" t="s">
        <v>177</v>
      </c>
      <c r="D15" s="10" t="s">
        <v>1086</v>
      </c>
      <c r="E15" s="10" t="s">
        <v>1062</v>
      </c>
      <c r="F15" s="10" t="s">
        <v>1087</v>
      </c>
      <c r="G15" s="10" t="s">
        <v>477</v>
      </c>
    </row>
    <row r="16" spans="1:7" ht="28.8" hidden="1" x14ac:dyDescent="0.3">
      <c r="A16" s="10">
        <v>15</v>
      </c>
      <c r="B16" s="10" t="s">
        <v>1075</v>
      </c>
      <c r="C16" s="10" t="s">
        <v>188</v>
      </c>
      <c r="D16" s="10" t="s">
        <v>1088</v>
      </c>
      <c r="E16" s="10" t="s">
        <v>1060</v>
      </c>
      <c r="F16" s="10" t="s">
        <v>1089</v>
      </c>
      <c r="G16" s="10" t="s">
        <v>478</v>
      </c>
    </row>
    <row r="17" spans="1:7" ht="28.8" hidden="1" x14ac:dyDescent="0.3">
      <c r="A17" s="10">
        <v>16</v>
      </c>
      <c r="B17" s="10" t="s">
        <v>1075</v>
      </c>
      <c r="C17" s="10" t="s">
        <v>178</v>
      </c>
      <c r="D17" s="10" t="s">
        <v>1090</v>
      </c>
      <c r="E17" s="10" t="s">
        <v>1058</v>
      </c>
      <c r="F17" s="10" t="s">
        <v>1091</v>
      </c>
      <c r="G17" s="10" t="s">
        <v>479</v>
      </c>
    </row>
    <row r="18" spans="1:7" ht="28.8" hidden="1" x14ac:dyDescent="0.3">
      <c r="A18" s="10">
        <v>17</v>
      </c>
      <c r="B18" s="10" t="s">
        <v>1075</v>
      </c>
      <c r="C18" s="10" t="s">
        <v>179</v>
      </c>
      <c r="D18" s="10" t="s">
        <v>1092</v>
      </c>
      <c r="E18" s="10" t="s">
        <v>1058</v>
      </c>
      <c r="F18" s="10" t="s">
        <v>1093</v>
      </c>
      <c r="G18" s="10" t="s">
        <v>480</v>
      </c>
    </row>
    <row r="19" spans="1:7" ht="28.8" hidden="1" x14ac:dyDescent="0.3">
      <c r="A19" s="10">
        <v>18</v>
      </c>
      <c r="B19" s="10" t="s">
        <v>1075</v>
      </c>
      <c r="C19" s="10" t="s">
        <v>120</v>
      </c>
      <c r="D19" s="10" t="s">
        <v>1094</v>
      </c>
      <c r="E19" s="10" t="s">
        <v>1095</v>
      </c>
      <c r="F19" s="10" t="s">
        <v>1096</v>
      </c>
      <c r="G19" s="10" t="s">
        <v>481</v>
      </c>
    </row>
    <row r="20" spans="1:7" ht="28.8" hidden="1" x14ac:dyDescent="0.3">
      <c r="A20" s="10">
        <v>19</v>
      </c>
      <c r="B20" s="10" t="s">
        <v>1075</v>
      </c>
      <c r="C20" s="10" t="s">
        <v>180</v>
      </c>
      <c r="D20" s="10" t="s">
        <v>1097</v>
      </c>
      <c r="E20" s="10" t="s">
        <v>1058</v>
      </c>
      <c r="F20" s="10" t="s">
        <v>1098</v>
      </c>
      <c r="G20" s="10" t="s">
        <v>482</v>
      </c>
    </row>
    <row r="21" spans="1:7" ht="28.8" hidden="1" x14ac:dyDescent="0.3">
      <c r="A21" s="10">
        <v>20</v>
      </c>
      <c r="B21" s="10" t="s">
        <v>1075</v>
      </c>
      <c r="C21" s="10" t="s">
        <v>182</v>
      </c>
      <c r="D21" s="10" t="s">
        <v>1099</v>
      </c>
      <c r="E21" s="10" t="s">
        <v>1062</v>
      </c>
      <c r="F21" s="10" t="s">
        <v>1100</v>
      </c>
      <c r="G21" s="10" t="s">
        <v>484</v>
      </c>
    </row>
    <row r="22" spans="1:7" ht="28.8" hidden="1" x14ac:dyDescent="0.3">
      <c r="A22" s="10">
        <v>21</v>
      </c>
      <c r="B22" s="10" t="s">
        <v>1075</v>
      </c>
      <c r="C22" s="10" t="s">
        <v>183</v>
      </c>
      <c r="D22" s="10" t="s">
        <v>1101</v>
      </c>
      <c r="E22" s="10" t="s">
        <v>1060</v>
      </c>
      <c r="F22" s="10" t="s">
        <v>1102</v>
      </c>
      <c r="G22" s="10" t="s">
        <v>485</v>
      </c>
    </row>
    <row r="23" spans="1:7" ht="28.8" hidden="1" x14ac:dyDescent="0.3">
      <c r="A23" s="10">
        <v>22</v>
      </c>
      <c r="B23" s="10" t="s">
        <v>1103</v>
      </c>
      <c r="C23" s="10" t="s">
        <v>1104</v>
      </c>
      <c r="F23" s="10" t="s">
        <v>1105</v>
      </c>
      <c r="G23" s="10" t="s">
        <v>1106</v>
      </c>
    </row>
    <row r="24" spans="1:7" ht="28.8" hidden="1" x14ac:dyDescent="0.3">
      <c r="A24" s="10">
        <v>23</v>
      </c>
      <c r="B24" s="10" t="s">
        <v>1103</v>
      </c>
      <c r="C24" s="10" t="s">
        <v>1107</v>
      </c>
      <c r="F24" s="10" t="s">
        <v>1108</v>
      </c>
      <c r="G24" s="10" t="s">
        <v>1109</v>
      </c>
    </row>
    <row r="25" spans="1:7" ht="28.8" hidden="1" x14ac:dyDescent="0.3">
      <c r="A25" s="10">
        <v>24</v>
      </c>
      <c r="B25" s="10" t="s">
        <v>1103</v>
      </c>
      <c r="C25" s="10" t="s">
        <v>1110</v>
      </c>
      <c r="F25" s="10" t="s">
        <v>1111</v>
      </c>
      <c r="G25" s="10" t="s">
        <v>1112</v>
      </c>
    </row>
    <row r="26" spans="1:7" ht="28.8" hidden="1" x14ac:dyDescent="0.3">
      <c r="A26" s="10">
        <v>25</v>
      </c>
      <c r="B26" s="10" t="s">
        <v>1103</v>
      </c>
      <c r="C26" s="10" t="s">
        <v>1113</v>
      </c>
      <c r="F26" s="10" t="s">
        <v>1114</v>
      </c>
      <c r="G26" s="10" t="s">
        <v>1115</v>
      </c>
    </row>
    <row r="27" spans="1:7" ht="28.8" hidden="1" x14ac:dyDescent="0.3">
      <c r="A27" s="10">
        <v>26</v>
      </c>
      <c r="B27" s="10" t="s">
        <v>1103</v>
      </c>
      <c r="C27" s="10" t="s">
        <v>1116</v>
      </c>
      <c r="F27" s="10" t="s">
        <v>1117</v>
      </c>
      <c r="G27" s="10" t="s">
        <v>1118</v>
      </c>
    </row>
    <row r="28" spans="1:7" ht="28.8" hidden="1" x14ac:dyDescent="0.3">
      <c r="A28" s="10">
        <v>27</v>
      </c>
      <c r="B28" s="10" t="s">
        <v>1103</v>
      </c>
      <c r="C28" s="10" t="s">
        <v>1119</v>
      </c>
      <c r="F28" s="10" t="s">
        <v>1120</v>
      </c>
      <c r="G28" s="10" t="s">
        <v>1121</v>
      </c>
    </row>
    <row r="29" spans="1:7" ht="28.8" hidden="1" x14ac:dyDescent="0.3">
      <c r="A29" s="10">
        <v>28</v>
      </c>
      <c r="B29" s="10" t="s">
        <v>1103</v>
      </c>
      <c r="C29" s="10" t="s">
        <v>1122</v>
      </c>
      <c r="F29" s="10" t="s">
        <v>1123</v>
      </c>
      <c r="G29" s="10" t="s">
        <v>1124</v>
      </c>
    </row>
    <row r="30" spans="1:7" ht="28.8" hidden="1" x14ac:dyDescent="0.3">
      <c r="A30" s="10">
        <v>29</v>
      </c>
      <c r="B30" s="10" t="s">
        <v>1103</v>
      </c>
      <c r="C30" s="10" t="s">
        <v>665</v>
      </c>
      <c r="F30" s="10" t="s">
        <v>1125</v>
      </c>
      <c r="G30" s="10" t="s">
        <v>1126</v>
      </c>
    </row>
    <row r="31" spans="1:7" ht="28.8" hidden="1" x14ac:dyDescent="0.3">
      <c r="A31" s="10">
        <v>30</v>
      </c>
      <c r="B31" s="10" t="s">
        <v>1103</v>
      </c>
      <c r="C31" s="10" t="s">
        <v>1127</v>
      </c>
      <c r="F31" s="10" t="s">
        <v>1128</v>
      </c>
      <c r="G31" s="10" t="s">
        <v>1129</v>
      </c>
    </row>
    <row r="32" spans="1:7" ht="28.8" hidden="1" x14ac:dyDescent="0.3">
      <c r="A32" s="10">
        <v>31</v>
      </c>
      <c r="B32" s="10" t="s">
        <v>1103</v>
      </c>
      <c r="C32" s="10" t="s">
        <v>1130</v>
      </c>
      <c r="F32" s="10" t="s">
        <v>1131</v>
      </c>
      <c r="G32" s="10" t="s">
        <v>1132</v>
      </c>
    </row>
    <row r="33" spans="1:7" ht="28.8" hidden="1" x14ac:dyDescent="0.3">
      <c r="A33" s="10">
        <v>32</v>
      </c>
      <c r="B33" s="10" t="s">
        <v>1103</v>
      </c>
      <c r="C33" s="10" t="s">
        <v>1133</v>
      </c>
      <c r="F33" s="10" t="s">
        <v>1134</v>
      </c>
      <c r="G33" s="10" t="s">
        <v>1135</v>
      </c>
    </row>
    <row r="34" spans="1:7" ht="28.8" hidden="1" x14ac:dyDescent="0.3">
      <c r="A34" s="10">
        <v>33</v>
      </c>
      <c r="B34" s="10" t="s">
        <v>1136</v>
      </c>
      <c r="C34" s="10" t="s">
        <v>206</v>
      </c>
      <c r="D34" s="10" t="s">
        <v>1137</v>
      </c>
      <c r="E34" s="10" t="s">
        <v>1138</v>
      </c>
      <c r="F34" s="10" t="s">
        <v>1139</v>
      </c>
      <c r="G34" s="10" t="s">
        <v>489</v>
      </c>
    </row>
    <row r="35" spans="1:7" ht="28.8" hidden="1" x14ac:dyDescent="0.3">
      <c r="A35" s="10">
        <v>34</v>
      </c>
      <c r="B35" s="10" t="s">
        <v>1136</v>
      </c>
      <c r="C35" s="10" t="s">
        <v>209</v>
      </c>
      <c r="D35" s="10" t="s">
        <v>1138</v>
      </c>
      <c r="E35" s="10" t="s">
        <v>1140</v>
      </c>
      <c r="F35" s="10" t="s">
        <v>1141</v>
      </c>
      <c r="G35" s="10" t="s">
        <v>490</v>
      </c>
    </row>
    <row r="36" spans="1:7" ht="28.8" hidden="1" x14ac:dyDescent="0.3">
      <c r="A36" s="10">
        <v>35</v>
      </c>
      <c r="B36" s="10" t="s">
        <v>1136</v>
      </c>
      <c r="C36" s="10" t="s">
        <v>210</v>
      </c>
      <c r="D36" s="10" t="s">
        <v>1142</v>
      </c>
      <c r="E36" s="10" t="s">
        <v>1058</v>
      </c>
      <c r="F36" s="10" t="s">
        <v>1143</v>
      </c>
      <c r="G36" s="10" t="s">
        <v>491</v>
      </c>
    </row>
    <row r="37" spans="1:7" ht="28.8" hidden="1" x14ac:dyDescent="0.3">
      <c r="A37" s="10">
        <v>36</v>
      </c>
      <c r="B37" s="10" t="s">
        <v>1136</v>
      </c>
      <c r="C37" s="10" t="s">
        <v>186</v>
      </c>
      <c r="F37" s="10" t="s">
        <v>1144</v>
      </c>
      <c r="G37" s="10" t="s">
        <v>492</v>
      </c>
    </row>
    <row r="38" spans="1:7" ht="28.8" hidden="1" x14ac:dyDescent="0.3">
      <c r="A38" s="10">
        <v>37</v>
      </c>
      <c r="B38" s="10" t="s">
        <v>1136</v>
      </c>
      <c r="C38" s="10" t="s">
        <v>211</v>
      </c>
      <c r="D38" s="10" t="s">
        <v>1145</v>
      </c>
      <c r="E38" s="10" t="s">
        <v>1138</v>
      </c>
      <c r="F38" s="10" t="s">
        <v>1146</v>
      </c>
      <c r="G38" s="10" t="s">
        <v>493</v>
      </c>
    </row>
    <row r="39" spans="1:7" ht="28.8" hidden="1" x14ac:dyDescent="0.3">
      <c r="A39" s="10">
        <v>38</v>
      </c>
      <c r="B39" s="10" t="s">
        <v>1147</v>
      </c>
      <c r="C39" s="10" t="s">
        <v>212</v>
      </c>
      <c r="D39" s="10" t="s">
        <v>1148</v>
      </c>
      <c r="E39" s="10" t="s">
        <v>1058</v>
      </c>
      <c r="F39" s="10" t="s">
        <v>1149</v>
      </c>
      <c r="G39" s="10" t="s">
        <v>495</v>
      </c>
    </row>
    <row r="40" spans="1:7" ht="28.8" hidden="1" x14ac:dyDescent="0.3">
      <c r="A40" s="10">
        <v>39</v>
      </c>
      <c r="B40" s="10" t="s">
        <v>1147</v>
      </c>
      <c r="C40" s="10" t="s">
        <v>213</v>
      </c>
      <c r="D40" s="10" t="s">
        <v>1150</v>
      </c>
      <c r="E40" s="10" t="s">
        <v>1058</v>
      </c>
      <c r="F40" s="10" t="s">
        <v>1151</v>
      </c>
      <c r="G40" s="10" t="s">
        <v>496</v>
      </c>
    </row>
    <row r="41" spans="1:7" ht="28.8" hidden="1" x14ac:dyDescent="0.3">
      <c r="A41" s="10">
        <v>40</v>
      </c>
      <c r="B41" s="10" t="s">
        <v>1147</v>
      </c>
      <c r="C41" s="10" t="s">
        <v>213</v>
      </c>
      <c r="D41" s="10" t="s">
        <v>1152</v>
      </c>
      <c r="E41" s="10" t="s">
        <v>1150</v>
      </c>
      <c r="F41" s="10" t="s">
        <v>1151</v>
      </c>
      <c r="G41" s="10" t="s">
        <v>496</v>
      </c>
    </row>
    <row r="42" spans="1:7" ht="28.8" hidden="1" x14ac:dyDescent="0.3">
      <c r="A42" s="10">
        <v>41</v>
      </c>
      <c r="B42" s="10" t="s">
        <v>1147</v>
      </c>
      <c r="C42" s="10" t="s">
        <v>214</v>
      </c>
      <c r="D42" s="10" t="s">
        <v>1153</v>
      </c>
      <c r="E42" s="10" t="s">
        <v>1152</v>
      </c>
      <c r="F42" s="10" t="s">
        <v>1154</v>
      </c>
      <c r="G42" s="10" t="s">
        <v>497</v>
      </c>
    </row>
    <row r="43" spans="1:7" ht="28.8" hidden="1" x14ac:dyDescent="0.3">
      <c r="A43" s="10">
        <v>42</v>
      </c>
      <c r="B43" s="10" t="s">
        <v>1147</v>
      </c>
      <c r="C43" s="10" t="s">
        <v>215</v>
      </c>
      <c r="D43" s="10" t="s">
        <v>1155</v>
      </c>
      <c r="E43" s="10" t="s">
        <v>1152</v>
      </c>
      <c r="F43" s="10" t="s">
        <v>1156</v>
      </c>
      <c r="G43" s="10" t="s">
        <v>498</v>
      </c>
    </row>
    <row r="44" spans="1:7" ht="28.8" hidden="1" x14ac:dyDescent="0.3">
      <c r="A44" s="10">
        <v>43</v>
      </c>
      <c r="B44" s="10" t="s">
        <v>1147</v>
      </c>
      <c r="C44" s="10" t="s">
        <v>216</v>
      </c>
      <c r="D44" s="10" t="s">
        <v>1157</v>
      </c>
      <c r="E44" s="10" t="s">
        <v>1152</v>
      </c>
      <c r="F44" s="10" t="s">
        <v>1158</v>
      </c>
      <c r="G44" s="10" t="s">
        <v>499</v>
      </c>
    </row>
    <row r="45" spans="1:7" ht="28.8" hidden="1" x14ac:dyDescent="0.3">
      <c r="A45" s="10">
        <v>44</v>
      </c>
      <c r="B45" s="10" t="s">
        <v>1159</v>
      </c>
      <c r="C45" s="10" t="s">
        <v>208</v>
      </c>
      <c r="D45" s="10" t="s">
        <v>1160</v>
      </c>
      <c r="E45" s="10" t="s">
        <v>1138</v>
      </c>
      <c r="F45" s="10" t="s">
        <v>1161</v>
      </c>
      <c r="G45" s="10" t="s">
        <v>501</v>
      </c>
    </row>
    <row r="46" spans="1:7" ht="28.8" hidden="1" x14ac:dyDescent="0.3">
      <c r="A46" s="10">
        <v>45</v>
      </c>
      <c r="B46" s="10" t="s">
        <v>1159</v>
      </c>
      <c r="C46" s="10" t="s">
        <v>502</v>
      </c>
      <c r="D46" s="10" t="s">
        <v>1162</v>
      </c>
      <c r="E46" s="10" t="s">
        <v>1160</v>
      </c>
      <c r="F46" s="10" t="s">
        <v>1163</v>
      </c>
      <c r="G46" s="10" t="s">
        <v>503</v>
      </c>
    </row>
    <row r="47" spans="1:7" ht="43.2" hidden="1" x14ac:dyDescent="0.3">
      <c r="A47" s="10">
        <v>46</v>
      </c>
      <c r="B47" s="10" t="s">
        <v>1164</v>
      </c>
      <c r="C47" s="10" t="s">
        <v>217</v>
      </c>
      <c r="D47" s="10" t="s">
        <v>1165</v>
      </c>
      <c r="E47" s="10" t="s">
        <v>1137</v>
      </c>
      <c r="F47" s="10" t="s">
        <v>1166</v>
      </c>
      <c r="G47" s="10" t="s">
        <v>505</v>
      </c>
    </row>
    <row r="48" spans="1:7" ht="43.2" hidden="1" x14ac:dyDescent="0.3">
      <c r="A48" s="10">
        <v>47</v>
      </c>
      <c r="B48" s="10" t="s">
        <v>1164</v>
      </c>
      <c r="C48" s="10" t="s">
        <v>217</v>
      </c>
      <c r="D48" s="10" t="s">
        <v>1167</v>
      </c>
      <c r="E48" s="10" t="s">
        <v>1058</v>
      </c>
      <c r="F48" s="10" t="s">
        <v>1166</v>
      </c>
      <c r="G48" s="10" t="s">
        <v>505</v>
      </c>
    </row>
    <row r="49" spans="1:7" ht="28.8" hidden="1" x14ac:dyDescent="0.3">
      <c r="A49" s="10">
        <v>48</v>
      </c>
      <c r="B49" s="10" t="s">
        <v>1168</v>
      </c>
      <c r="C49" s="10" t="s">
        <v>218</v>
      </c>
      <c r="D49" s="10" t="s">
        <v>1169</v>
      </c>
      <c r="E49" s="10" t="s">
        <v>1170</v>
      </c>
      <c r="F49" s="10" t="s">
        <v>1171</v>
      </c>
      <c r="G49" s="10" t="s">
        <v>507</v>
      </c>
    </row>
    <row r="50" spans="1:7" ht="43.2" hidden="1" x14ac:dyDescent="0.3">
      <c r="A50" s="10">
        <v>49</v>
      </c>
      <c r="B50" s="10" t="s">
        <v>1168</v>
      </c>
      <c r="C50" s="10" t="s">
        <v>219</v>
      </c>
      <c r="D50" s="10" t="s">
        <v>1172</v>
      </c>
      <c r="E50" s="10" t="s">
        <v>1170</v>
      </c>
      <c r="F50" s="10" t="s">
        <v>1173</v>
      </c>
      <c r="G50" s="10" t="s">
        <v>508</v>
      </c>
    </row>
    <row r="51" spans="1:7" ht="43.2" hidden="1" x14ac:dyDescent="0.3">
      <c r="A51" s="10">
        <v>50</v>
      </c>
      <c r="B51" s="10" t="s">
        <v>1168</v>
      </c>
      <c r="C51" s="10" t="s">
        <v>220</v>
      </c>
      <c r="D51" s="10" t="s">
        <v>1174</v>
      </c>
      <c r="E51" s="10" t="s">
        <v>1170</v>
      </c>
      <c r="F51" s="10" t="s">
        <v>1175</v>
      </c>
      <c r="G51" s="10" t="s">
        <v>509</v>
      </c>
    </row>
    <row r="52" spans="1:7" ht="43.2" hidden="1" x14ac:dyDescent="0.3">
      <c r="A52" s="10">
        <v>51</v>
      </c>
      <c r="B52" s="10" t="s">
        <v>1168</v>
      </c>
      <c r="C52" s="10" t="s">
        <v>221</v>
      </c>
      <c r="D52" s="10" t="s">
        <v>1176</v>
      </c>
      <c r="E52" s="10" t="s">
        <v>1170</v>
      </c>
      <c r="F52" s="10" t="s">
        <v>1177</v>
      </c>
      <c r="G52" s="10" t="s">
        <v>510</v>
      </c>
    </row>
    <row r="53" spans="1:7" ht="43.2" hidden="1" x14ac:dyDescent="0.3">
      <c r="A53" s="10">
        <v>52</v>
      </c>
      <c r="B53" s="10" t="s">
        <v>1168</v>
      </c>
      <c r="C53" s="10" t="s">
        <v>222</v>
      </c>
      <c r="D53" s="10" t="s">
        <v>1178</v>
      </c>
      <c r="E53" s="10" t="s">
        <v>1170</v>
      </c>
      <c r="F53" s="10" t="s">
        <v>1179</v>
      </c>
      <c r="G53" s="10" t="s">
        <v>511</v>
      </c>
    </row>
    <row r="54" spans="1:7" ht="28.8" hidden="1" x14ac:dyDescent="0.3">
      <c r="A54" s="10">
        <v>53</v>
      </c>
      <c r="B54" s="10" t="s">
        <v>1168</v>
      </c>
      <c r="C54" s="10" t="s">
        <v>223</v>
      </c>
      <c r="D54" s="10" t="s">
        <v>1180</v>
      </c>
      <c r="E54" s="10" t="s">
        <v>1170</v>
      </c>
      <c r="F54" s="10" t="s">
        <v>1181</v>
      </c>
      <c r="G54" s="10" t="s">
        <v>512</v>
      </c>
    </row>
    <row r="55" spans="1:7" ht="43.2" hidden="1" x14ac:dyDescent="0.3">
      <c r="A55" s="10">
        <v>54</v>
      </c>
      <c r="B55" s="10" t="s">
        <v>1168</v>
      </c>
      <c r="C55" s="10" t="s">
        <v>224</v>
      </c>
      <c r="D55" s="10" t="s">
        <v>1182</v>
      </c>
      <c r="E55" s="10" t="s">
        <v>1170</v>
      </c>
      <c r="F55" s="10" t="s">
        <v>1183</v>
      </c>
      <c r="G55" s="10" t="s">
        <v>513</v>
      </c>
    </row>
    <row r="56" spans="1:7" ht="28.8" hidden="1" x14ac:dyDescent="0.3">
      <c r="A56" s="10">
        <v>55</v>
      </c>
      <c r="B56" s="10" t="s">
        <v>1168</v>
      </c>
      <c r="C56" s="10" t="s">
        <v>225</v>
      </c>
      <c r="D56" s="10" t="s">
        <v>1184</v>
      </c>
      <c r="E56" s="10" t="s">
        <v>1170</v>
      </c>
      <c r="F56" s="10" t="s">
        <v>1185</v>
      </c>
      <c r="G56" s="10" t="s">
        <v>514</v>
      </c>
    </row>
    <row r="57" spans="1:7" ht="28.8" hidden="1" x14ac:dyDescent="0.3">
      <c r="A57" s="10">
        <v>56</v>
      </c>
      <c r="B57" s="10" t="s">
        <v>1168</v>
      </c>
      <c r="C57" s="10" t="s">
        <v>226</v>
      </c>
      <c r="D57" s="10" t="s">
        <v>1186</v>
      </c>
      <c r="E57" s="10" t="s">
        <v>1170</v>
      </c>
      <c r="F57" s="10" t="s">
        <v>1187</v>
      </c>
      <c r="G57" s="10" t="s">
        <v>515</v>
      </c>
    </row>
    <row r="58" spans="1:7" ht="43.2" hidden="1" x14ac:dyDescent="0.3">
      <c r="A58" s="10">
        <v>57</v>
      </c>
      <c r="B58" s="10" t="s">
        <v>1168</v>
      </c>
      <c r="C58" s="10" t="s">
        <v>227</v>
      </c>
      <c r="D58" s="10" t="s">
        <v>1188</v>
      </c>
      <c r="E58" s="10" t="s">
        <v>1170</v>
      </c>
      <c r="F58" s="10" t="s">
        <v>1189</v>
      </c>
      <c r="G58" s="10" t="s">
        <v>516</v>
      </c>
    </row>
    <row r="59" spans="1:7" ht="43.2" hidden="1" x14ac:dyDescent="0.3">
      <c r="A59" s="10">
        <v>58</v>
      </c>
      <c r="B59" s="10" t="s">
        <v>1168</v>
      </c>
      <c r="C59" s="10" t="s">
        <v>228</v>
      </c>
      <c r="D59" s="10" t="s">
        <v>1190</v>
      </c>
      <c r="E59" s="10" t="s">
        <v>1170</v>
      </c>
      <c r="F59" s="10" t="s">
        <v>1191</v>
      </c>
      <c r="G59" s="10" t="s">
        <v>517</v>
      </c>
    </row>
    <row r="60" spans="1:7" ht="28.8" hidden="1" x14ac:dyDescent="0.3">
      <c r="A60" s="10">
        <v>59</v>
      </c>
      <c r="B60" s="10" t="s">
        <v>1168</v>
      </c>
      <c r="C60" s="10" t="s">
        <v>229</v>
      </c>
      <c r="D60" s="10" t="s">
        <v>1192</v>
      </c>
      <c r="E60" s="10" t="s">
        <v>1170</v>
      </c>
      <c r="F60" s="10" t="s">
        <v>1193</v>
      </c>
      <c r="G60" s="10" t="s">
        <v>518</v>
      </c>
    </row>
    <row r="61" spans="1:7" ht="43.2" hidden="1" x14ac:dyDescent="0.3">
      <c r="A61" s="10">
        <v>60</v>
      </c>
      <c r="B61" s="10" t="s">
        <v>1168</v>
      </c>
      <c r="C61" s="10" t="s">
        <v>230</v>
      </c>
      <c r="D61" s="10" t="s">
        <v>1194</v>
      </c>
      <c r="E61" s="10" t="s">
        <v>1170</v>
      </c>
      <c r="F61" s="10" t="s">
        <v>1195</v>
      </c>
      <c r="G61" s="10" t="s">
        <v>519</v>
      </c>
    </row>
    <row r="62" spans="1:7" ht="28.8" hidden="1" x14ac:dyDescent="0.3">
      <c r="A62" s="10">
        <v>61</v>
      </c>
      <c r="B62" s="10" t="s">
        <v>1168</v>
      </c>
      <c r="C62" s="10" t="s">
        <v>231</v>
      </c>
      <c r="D62" s="10" t="s">
        <v>1196</v>
      </c>
      <c r="E62" s="10" t="s">
        <v>1170</v>
      </c>
      <c r="F62" s="10" t="s">
        <v>1197</v>
      </c>
      <c r="G62" s="10" t="s">
        <v>520</v>
      </c>
    </row>
    <row r="63" spans="1:7" ht="28.8" hidden="1" x14ac:dyDescent="0.3">
      <c r="A63" s="10">
        <v>62</v>
      </c>
      <c r="B63" s="10" t="s">
        <v>1168</v>
      </c>
      <c r="C63" s="10" t="s">
        <v>232</v>
      </c>
      <c r="D63" s="10" t="s">
        <v>1198</v>
      </c>
      <c r="E63" s="10" t="s">
        <v>1170</v>
      </c>
      <c r="F63" s="10" t="s">
        <v>1199</v>
      </c>
      <c r="G63" s="10" t="s">
        <v>521</v>
      </c>
    </row>
    <row r="64" spans="1:7" ht="28.8" hidden="1" x14ac:dyDescent="0.3">
      <c r="A64" s="10">
        <v>63</v>
      </c>
      <c r="B64" s="10" t="s">
        <v>1168</v>
      </c>
      <c r="C64" s="10" t="s">
        <v>233</v>
      </c>
      <c r="D64" s="10" t="s">
        <v>1200</v>
      </c>
      <c r="E64" s="10" t="s">
        <v>1170</v>
      </c>
      <c r="F64" s="10" t="s">
        <v>1201</v>
      </c>
      <c r="G64" s="10" t="s">
        <v>522</v>
      </c>
    </row>
    <row r="65" spans="1:7" ht="28.8" hidden="1" x14ac:dyDescent="0.3">
      <c r="A65" s="10">
        <v>64</v>
      </c>
      <c r="B65" s="10" t="s">
        <v>1168</v>
      </c>
      <c r="C65" s="10" t="s">
        <v>234</v>
      </c>
      <c r="D65" s="10" t="s">
        <v>1202</v>
      </c>
      <c r="E65" s="10" t="s">
        <v>1170</v>
      </c>
      <c r="F65" s="10" t="s">
        <v>1203</v>
      </c>
      <c r="G65" s="10" t="s">
        <v>523</v>
      </c>
    </row>
    <row r="66" spans="1:7" ht="28.8" hidden="1" x14ac:dyDescent="0.3">
      <c r="A66" s="10">
        <v>65</v>
      </c>
      <c r="B66" s="10" t="s">
        <v>1168</v>
      </c>
      <c r="C66" s="10" t="s">
        <v>235</v>
      </c>
      <c r="D66" s="10" t="s">
        <v>1204</v>
      </c>
      <c r="E66" s="10" t="s">
        <v>1170</v>
      </c>
      <c r="F66" s="10" t="s">
        <v>1205</v>
      </c>
      <c r="G66" s="10" t="s">
        <v>524</v>
      </c>
    </row>
    <row r="67" spans="1:7" ht="28.8" hidden="1" x14ac:dyDescent="0.3">
      <c r="A67" s="10">
        <v>66</v>
      </c>
      <c r="B67" s="10" t="s">
        <v>1168</v>
      </c>
      <c r="C67" s="10" t="s">
        <v>236</v>
      </c>
      <c r="D67" s="10" t="s">
        <v>1206</v>
      </c>
      <c r="E67" s="10" t="s">
        <v>1170</v>
      </c>
      <c r="F67" s="10" t="s">
        <v>1207</v>
      </c>
      <c r="G67" s="10" t="s">
        <v>525</v>
      </c>
    </row>
    <row r="68" spans="1:7" ht="43.2" hidden="1" x14ac:dyDescent="0.3">
      <c r="A68" s="10">
        <v>67</v>
      </c>
      <c r="B68" s="10" t="s">
        <v>1168</v>
      </c>
      <c r="C68" s="10" t="s">
        <v>237</v>
      </c>
      <c r="D68" s="10" t="s">
        <v>1208</v>
      </c>
      <c r="E68" s="10" t="s">
        <v>1170</v>
      </c>
      <c r="F68" s="10" t="s">
        <v>1209</v>
      </c>
      <c r="G68" s="10" t="s">
        <v>526</v>
      </c>
    </row>
    <row r="69" spans="1:7" ht="43.2" hidden="1" x14ac:dyDescent="0.3">
      <c r="A69" s="10">
        <v>68</v>
      </c>
      <c r="B69" s="10" t="s">
        <v>1168</v>
      </c>
      <c r="C69" s="10" t="s">
        <v>238</v>
      </c>
      <c r="D69" s="10" t="s">
        <v>1210</v>
      </c>
      <c r="E69" s="10" t="s">
        <v>1170</v>
      </c>
      <c r="F69" s="10" t="s">
        <v>1211</v>
      </c>
      <c r="G69" s="10" t="s">
        <v>527</v>
      </c>
    </row>
    <row r="70" spans="1:7" ht="28.8" hidden="1" x14ac:dyDescent="0.3">
      <c r="A70" s="10">
        <v>69</v>
      </c>
      <c r="B70" s="10" t="s">
        <v>1168</v>
      </c>
      <c r="C70" s="10" t="s">
        <v>239</v>
      </c>
      <c r="D70" s="10" t="s">
        <v>1212</v>
      </c>
      <c r="E70" s="10" t="s">
        <v>1170</v>
      </c>
      <c r="F70" s="10" t="s">
        <v>1213</v>
      </c>
      <c r="G70" s="10" t="s">
        <v>528</v>
      </c>
    </row>
    <row r="71" spans="1:7" ht="28.8" hidden="1" x14ac:dyDescent="0.3">
      <c r="A71" s="10">
        <v>70</v>
      </c>
      <c r="B71" s="10" t="s">
        <v>1168</v>
      </c>
      <c r="C71" s="10" t="s">
        <v>240</v>
      </c>
      <c r="D71" s="10" t="s">
        <v>1214</v>
      </c>
      <c r="E71" s="10" t="s">
        <v>1170</v>
      </c>
      <c r="F71" s="10" t="s">
        <v>1215</v>
      </c>
      <c r="G71" s="10" t="s">
        <v>529</v>
      </c>
    </row>
    <row r="72" spans="1:7" ht="28.8" hidden="1" x14ac:dyDescent="0.3">
      <c r="A72" s="10">
        <v>71</v>
      </c>
      <c r="B72" s="10" t="s">
        <v>1168</v>
      </c>
      <c r="C72" s="10" t="s">
        <v>241</v>
      </c>
      <c r="D72" s="10" t="s">
        <v>1216</v>
      </c>
      <c r="E72" s="10" t="s">
        <v>1170</v>
      </c>
      <c r="F72" s="10" t="s">
        <v>1217</v>
      </c>
      <c r="G72" s="10" t="s">
        <v>530</v>
      </c>
    </row>
    <row r="73" spans="1:7" ht="28.8" hidden="1" x14ac:dyDescent="0.3">
      <c r="A73" s="10">
        <v>72</v>
      </c>
      <c r="B73" s="10" t="s">
        <v>1168</v>
      </c>
      <c r="C73" s="10" t="s">
        <v>242</v>
      </c>
      <c r="D73" s="10" t="s">
        <v>1218</v>
      </c>
      <c r="E73" s="10" t="s">
        <v>1170</v>
      </c>
      <c r="F73" s="10" t="s">
        <v>1219</v>
      </c>
      <c r="G73" s="10" t="s">
        <v>531</v>
      </c>
    </row>
    <row r="74" spans="1:7" ht="43.2" hidden="1" x14ac:dyDescent="0.3">
      <c r="A74" s="10">
        <v>73</v>
      </c>
      <c r="B74" s="10" t="s">
        <v>1168</v>
      </c>
      <c r="C74" s="10" t="s">
        <v>243</v>
      </c>
      <c r="D74" s="10" t="s">
        <v>1220</v>
      </c>
      <c r="E74" s="10" t="s">
        <v>1170</v>
      </c>
      <c r="F74" s="10" t="s">
        <v>1221</v>
      </c>
      <c r="G74" s="10" t="s">
        <v>532</v>
      </c>
    </row>
    <row r="75" spans="1:7" ht="28.8" hidden="1" x14ac:dyDescent="0.3">
      <c r="A75" s="10">
        <v>74</v>
      </c>
      <c r="B75" s="10" t="s">
        <v>1168</v>
      </c>
      <c r="C75" s="10" t="s">
        <v>244</v>
      </c>
      <c r="D75" s="10" t="s">
        <v>1222</v>
      </c>
      <c r="E75" s="10" t="s">
        <v>1170</v>
      </c>
      <c r="F75" s="10" t="s">
        <v>1223</v>
      </c>
      <c r="G75" s="10" t="s">
        <v>533</v>
      </c>
    </row>
    <row r="76" spans="1:7" ht="28.8" hidden="1" x14ac:dyDescent="0.3">
      <c r="A76" s="10">
        <v>75</v>
      </c>
      <c r="B76" s="10" t="s">
        <v>1168</v>
      </c>
      <c r="C76" s="10" t="s">
        <v>245</v>
      </c>
      <c r="D76" s="10" t="s">
        <v>1224</v>
      </c>
      <c r="E76" s="10" t="s">
        <v>1170</v>
      </c>
      <c r="F76" s="10" t="s">
        <v>1225</v>
      </c>
      <c r="G76" s="10" t="s">
        <v>534</v>
      </c>
    </row>
    <row r="77" spans="1:7" ht="28.8" hidden="1" x14ac:dyDescent="0.3">
      <c r="A77" s="10">
        <v>76</v>
      </c>
      <c r="B77" s="10" t="s">
        <v>1168</v>
      </c>
      <c r="C77" s="10" t="s">
        <v>246</v>
      </c>
      <c r="D77" s="10" t="s">
        <v>1226</v>
      </c>
      <c r="E77" s="10" t="s">
        <v>1170</v>
      </c>
      <c r="F77" s="10" t="s">
        <v>1227</v>
      </c>
      <c r="G77" s="10" t="s">
        <v>535</v>
      </c>
    </row>
    <row r="78" spans="1:7" ht="28.8" hidden="1" x14ac:dyDescent="0.3">
      <c r="A78" s="10">
        <v>77</v>
      </c>
      <c r="B78" s="10" t="s">
        <v>1168</v>
      </c>
      <c r="C78" s="10" t="s">
        <v>247</v>
      </c>
      <c r="D78" s="10" t="s">
        <v>1228</v>
      </c>
      <c r="E78" s="10" t="s">
        <v>1170</v>
      </c>
      <c r="F78" s="10" t="s">
        <v>1229</v>
      </c>
      <c r="G78" s="10" t="s">
        <v>536</v>
      </c>
    </row>
    <row r="79" spans="1:7" ht="28.8" hidden="1" x14ac:dyDescent="0.3">
      <c r="A79" s="10">
        <v>78</v>
      </c>
      <c r="B79" s="10" t="s">
        <v>1168</v>
      </c>
      <c r="C79" s="10" t="s">
        <v>248</v>
      </c>
      <c r="D79" s="10" t="s">
        <v>1230</v>
      </c>
      <c r="E79" s="10" t="s">
        <v>1170</v>
      </c>
      <c r="F79" s="10" t="s">
        <v>1231</v>
      </c>
      <c r="G79" s="10" t="s">
        <v>537</v>
      </c>
    </row>
    <row r="80" spans="1:7" ht="28.8" hidden="1" x14ac:dyDescent="0.3">
      <c r="A80" s="10">
        <v>79</v>
      </c>
      <c r="B80" s="10" t="s">
        <v>1168</v>
      </c>
      <c r="C80" s="10" t="s">
        <v>249</v>
      </c>
      <c r="D80" s="10" t="s">
        <v>1232</v>
      </c>
      <c r="E80" s="10" t="s">
        <v>1170</v>
      </c>
      <c r="F80" s="10" t="s">
        <v>1233</v>
      </c>
      <c r="G80" s="10" t="s">
        <v>538</v>
      </c>
    </row>
    <row r="81" spans="1:7" ht="28.8" hidden="1" x14ac:dyDescent="0.3">
      <c r="A81" s="10">
        <v>80</v>
      </c>
      <c r="B81" s="10" t="s">
        <v>1168</v>
      </c>
      <c r="C81" s="10" t="s">
        <v>250</v>
      </c>
      <c r="D81" s="10" t="s">
        <v>1234</v>
      </c>
      <c r="F81" s="10" t="s">
        <v>1235</v>
      </c>
      <c r="G81" s="10" t="s">
        <v>539</v>
      </c>
    </row>
    <row r="82" spans="1:7" ht="28.8" hidden="1" x14ac:dyDescent="0.3">
      <c r="A82" s="10">
        <v>81</v>
      </c>
      <c r="B82" s="10" t="s">
        <v>1168</v>
      </c>
      <c r="C82" s="10" t="s">
        <v>250</v>
      </c>
      <c r="D82" s="10" t="s">
        <v>1236</v>
      </c>
      <c r="E82" s="10" t="s">
        <v>1058</v>
      </c>
      <c r="F82" s="10" t="s">
        <v>1235</v>
      </c>
      <c r="G82" s="10" t="s">
        <v>539</v>
      </c>
    </row>
    <row r="83" spans="1:7" ht="28.8" hidden="1" x14ac:dyDescent="0.3">
      <c r="A83" s="10">
        <v>82</v>
      </c>
      <c r="B83" s="10" t="s">
        <v>1168</v>
      </c>
      <c r="C83" s="10" t="s">
        <v>250</v>
      </c>
      <c r="D83" s="10" t="s">
        <v>1237</v>
      </c>
      <c r="F83" s="10" t="s">
        <v>1235</v>
      </c>
      <c r="G83" s="10" t="s">
        <v>539</v>
      </c>
    </row>
    <row r="84" spans="1:7" ht="28.8" hidden="1" x14ac:dyDescent="0.3">
      <c r="A84" s="10">
        <v>83</v>
      </c>
      <c r="B84" s="10" t="s">
        <v>1168</v>
      </c>
      <c r="C84" s="10" t="s">
        <v>251</v>
      </c>
      <c r="D84" s="10" t="s">
        <v>1238</v>
      </c>
      <c r="E84" s="10" t="s">
        <v>1170</v>
      </c>
      <c r="F84" s="10" t="s">
        <v>1239</v>
      </c>
      <c r="G84" s="10" t="s">
        <v>540</v>
      </c>
    </row>
    <row r="85" spans="1:7" ht="28.8" hidden="1" x14ac:dyDescent="0.3">
      <c r="A85" s="10">
        <v>84</v>
      </c>
      <c r="B85" s="10" t="s">
        <v>1168</v>
      </c>
      <c r="C85" s="10" t="s">
        <v>252</v>
      </c>
      <c r="D85" s="10" t="s">
        <v>1240</v>
      </c>
      <c r="E85" s="10" t="s">
        <v>1170</v>
      </c>
      <c r="F85" s="10" t="s">
        <v>1241</v>
      </c>
      <c r="G85" s="10" t="s">
        <v>541</v>
      </c>
    </row>
    <row r="86" spans="1:7" ht="28.8" hidden="1" x14ac:dyDescent="0.3">
      <c r="A86" s="10">
        <v>85</v>
      </c>
      <c r="B86" s="10" t="s">
        <v>1168</v>
      </c>
      <c r="C86" s="10" t="s">
        <v>253</v>
      </c>
      <c r="D86" s="10" t="s">
        <v>1242</v>
      </c>
      <c r="E86" s="10" t="s">
        <v>1170</v>
      </c>
      <c r="F86" s="10" t="s">
        <v>1243</v>
      </c>
      <c r="G86" s="10" t="s">
        <v>542</v>
      </c>
    </row>
    <row r="87" spans="1:7" ht="43.2" hidden="1" x14ac:dyDescent="0.3">
      <c r="A87" s="10">
        <v>86</v>
      </c>
      <c r="B87" s="10" t="s">
        <v>1168</v>
      </c>
      <c r="C87" s="10" t="s">
        <v>254</v>
      </c>
      <c r="D87" s="10" t="s">
        <v>1244</v>
      </c>
      <c r="E87" s="10" t="s">
        <v>1170</v>
      </c>
      <c r="F87" s="10" t="s">
        <v>1245</v>
      </c>
      <c r="G87" s="10" t="s">
        <v>543</v>
      </c>
    </row>
    <row r="88" spans="1:7" ht="28.8" hidden="1" x14ac:dyDescent="0.3">
      <c r="A88" s="10">
        <v>87</v>
      </c>
      <c r="B88" s="10" t="s">
        <v>1168</v>
      </c>
      <c r="C88" s="10" t="s">
        <v>255</v>
      </c>
      <c r="D88" s="10" t="s">
        <v>1246</v>
      </c>
      <c r="E88" s="10" t="s">
        <v>1170</v>
      </c>
      <c r="F88" s="10" t="s">
        <v>1247</v>
      </c>
      <c r="G88" s="10" t="s">
        <v>544</v>
      </c>
    </row>
    <row r="89" spans="1:7" ht="43.2" hidden="1" x14ac:dyDescent="0.3">
      <c r="A89" s="10">
        <v>88</v>
      </c>
      <c r="B89" s="10" t="s">
        <v>1168</v>
      </c>
      <c r="C89" s="10" t="s">
        <v>256</v>
      </c>
      <c r="D89" s="10" t="s">
        <v>1248</v>
      </c>
      <c r="E89" s="10" t="s">
        <v>1170</v>
      </c>
      <c r="F89" s="10" t="s">
        <v>1249</v>
      </c>
      <c r="G89" s="10" t="s">
        <v>545</v>
      </c>
    </row>
    <row r="90" spans="1:7" ht="43.2" hidden="1" x14ac:dyDescent="0.3">
      <c r="A90" s="10">
        <v>89</v>
      </c>
      <c r="B90" s="10" t="s">
        <v>1168</v>
      </c>
      <c r="C90" s="10" t="s">
        <v>257</v>
      </c>
      <c r="D90" s="10" t="s">
        <v>1250</v>
      </c>
      <c r="E90" s="10" t="s">
        <v>1170</v>
      </c>
      <c r="F90" s="10" t="s">
        <v>1251</v>
      </c>
      <c r="G90" s="10" t="s">
        <v>546</v>
      </c>
    </row>
    <row r="91" spans="1:7" ht="28.8" hidden="1" x14ac:dyDescent="0.3">
      <c r="A91" s="10">
        <v>90</v>
      </c>
      <c r="B91" s="10" t="s">
        <v>1168</v>
      </c>
      <c r="C91" s="10" t="s">
        <v>258</v>
      </c>
      <c r="D91" s="10" t="s">
        <v>1252</v>
      </c>
      <c r="E91" s="10" t="s">
        <v>1170</v>
      </c>
      <c r="F91" s="10" t="s">
        <v>1253</v>
      </c>
      <c r="G91" s="10" t="s">
        <v>547</v>
      </c>
    </row>
    <row r="92" spans="1:7" ht="43.2" hidden="1" x14ac:dyDescent="0.3">
      <c r="A92" s="10">
        <v>91</v>
      </c>
      <c r="B92" s="10" t="s">
        <v>1168</v>
      </c>
      <c r="C92" s="10" t="s">
        <v>259</v>
      </c>
      <c r="D92" s="10" t="s">
        <v>1254</v>
      </c>
      <c r="E92" s="10" t="s">
        <v>1170</v>
      </c>
      <c r="F92" s="10" t="s">
        <v>1255</v>
      </c>
      <c r="G92" s="10" t="s">
        <v>548</v>
      </c>
    </row>
    <row r="93" spans="1:7" ht="28.8" hidden="1" x14ac:dyDescent="0.3">
      <c r="A93" s="10">
        <v>92</v>
      </c>
      <c r="B93" s="10" t="s">
        <v>1168</v>
      </c>
      <c r="C93" s="10" t="s">
        <v>260</v>
      </c>
      <c r="D93" s="10" t="s">
        <v>1256</v>
      </c>
      <c r="E93" s="10" t="s">
        <v>1170</v>
      </c>
      <c r="F93" s="10" t="s">
        <v>1257</v>
      </c>
      <c r="G93" s="10" t="s">
        <v>549</v>
      </c>
    </row>
    <row r="94" spans="1:7" ht="28.8" hidden="1" x14ac:dyDescent="0.3">
      <c r="A94" s="10">
        <v>93</v>
      </c>
      <c r="B94" s="10" t="s">
        <v>1168</v>
      </c>
      <c r="C94" s="10" t="s">
        <v>261</v>
      </c>
      <c r="D94" s="10" t="s">
        <v>1258</v>
      </c>
      <c r="E94" s="10" t="s">
        <v>1237</v>
      </c>
      <c r="F94" s="10" t="s">
        <v>1259</v>
      </c>
      <c r="G94" s="10" t="s">
        <v>550</v>
      </c>
    </row>
    <row r="95" spans="1:7" ht="28.8" hidden="1" x14ac:dyDescent="0.3">
      <c r="A95" s="10">
        <v>94</v>
      </c>
      <c r="B95" s="10" t="s">
        <v>1168</v>
      </c>
      <c r="C95" s="10" t="s">
        <v>262</v>
      </c>
      <c r="D95" s="10" t="s">
        <v>1260</v>
      </c>
      <c r="E95" s="10" t="s">
        <v>1170</v>
      </c>
      <c r="F95" s="10" t="s">
        <v>1261</v>
      </c>
      <c r="G95" s="10" t="s">
        <v>551</v>
      </c>
    </row>
    <row r="96" spans="1:7" ht="28.8" hidden="1" x14ac:dyDescent="0.3">
      <c r="A96" s="10">
        <v>95</v>
      </c>
      <c r="B96" s="10" t="s">
        <v>1168</v>
      </c>
      <c r="C96" s="10" t="s">
        <v>263</v>
      </c>
      <c r="D96" s="10" t="s">
        <v>1262</v>
      </c>
      <c r="E96" s="10" t="s">
        <v>1170</v>
      </c>
      <c r="F96" s="10" t="s">
        <v>1263</v>
      </c>
      <c r="G96" s="10" t="s">
        <v>552</v>
      </c>
    </row>
    <row r="97" spans="1:7" ht="28.8" hidden="1" x14ac:dyDescent="0.3">
      <c r="A97" s="10">
        <v>96</v>
      </c>
      <c r="B97" s="10" t="s">
        <v>1264</v>
      </c>
      <c r="C97" s="10" t="s">
        <v>554</v>
      </c>
      <c r="D97" s="10" t="s">
        <v>1265</v>
      </c>
      <c r="E97" s="10" t="s">
        <v>1058</v>
      </c>
      <c r="F97" s="10" t="s">
        <v>1266</v>
      </c>
      <c r="G97" s="10" t="s">
        <v>555</v>
      </c>
    </row>
    <row r="98" spans="1:7" ht="28.8" hidden="1" x14ac:dyDescent="0.3">
      <c r="A98" s="10">
        <v>97</v>
      </c>
      <c r="B98" s="10" t="s">
        <v>1264</v>
      </c>
      <c r="C98" s="10" t="s">
        <v>207</v>
      </c>
      <c r="D98" s="10" t="s">
        <v>1140</v>
      </c>
      <c r="E98" s="10" t="s">
        <v>1058</v>
      </c>
      <c r="F98" s="10" t="s">
        <v>1267</v>
      </c>
      <c r="G98" s="10" t="s">
        <v>556</v>
      </c>
    </row>
    <row r="99" spans="1:7" ht="28.8" hidden="1" x14ac:dyDescent="0.3">
      <c r="A99" s="10">
        <v>98</v>
      </c>
      <c r="B99" s="10" t="s">
        <v>1268</v>
      </c>
      <c r="C99" s="10" t="s">
        <v>296</v>
      </c>
      <c r="D99" s="10" t="s">
        <v>1269</v>
      </c>
      <c r="F99" s="10" t="s">
        <v>1270</v>
      </c>
      <c r="G99" s="10" t="s">
        <v>558</v>
      </c>
    </row>
    <row r="100" spans="1:7" ht="28.8" hidden="1" x14ac:dyDescent="0.3">
      <c r="A100" s="10">
        <v>99</v>
      </c>
      <c r="B100" s="10" t="s">
        <v>1268</v>
      </c>
      <c r="C100" s="10" t="s">
        <v>296</v>
      </c>
      <c r="D100" s="10" t="s">
        <v>1271</v>
      </c>
      <c r="E100" s="10" t="s">
        <v>1058</v>
      </c>
      <c r="F100" s="10" t="s">
        <v>1270</v>
      </c>
      <c r="G100" s="10" t="s">
        <v>558</v>
      </c>
    </row>
    <row r="101" spans="1:7" ht="28.8" hidden="1" x14ac:dyDescent="0.3">
      <c r="A101" s="10">
        <v>100</v>
      </c>
      <c r="B101" s="10" t="s">
        <v>1268</v>
      </c>
      <c r="C101" s="10" t="s">
        <v>296</v>
      </c>
      <c r="D101" s="10" t="s">
        <v>1234</v>
      </c>
      <c r="F101" s="10" t="s">
        <v>1270</v>
      </c>
      <c r="G101" s="10" t="s">
        <v>558</v>
      </c>
    </row>
    <row r="102" spans="1:7" ht="28.8" hidden="1" x14ac:dyDescent="0.3">
      <c r="A102" s="10">
        <v>101</v>
      </c>
      <c r="B102" s="10" t="s">
        <v>1268</v>
      </c>
      <c r="C102" s="10" t="s">
        <v>296</v>
      </c>
      <c r="D102" s="10" t="s">
        <v>1170</v>
      </c>
      <c r="E102" s="10" t="s">
        <v>1140</v>
      </c>
      <c r="F102" s="10" t="s">
        <v>1270</v>
      </c>
      <c r="G102" s="10" t="s">
        <v>558</v>
      </c>
    </row>
    <row r="103" spans="1:7" ht="43.2" hidden="1" x14ac:dyDescent="0.3">
      <c r="A103" s="10">
        <v>102</v>
      </c>
      <c r="B103" s="10" t="s">
        <v>1272</v>
      </c>
      <c r="C103" s="10" t="s">
        <v>264</v>
      </c>
      <c r="D103" s="10" t="s">
        <v>1169</v>
      </c>
      <c r="E103" s="10" t="s">
        <v>1170</v>
      </c>
      <c r="F103" s="10" t="s">
        <v>1273</v>
      </c>
      <c r="G103" s="10" t="s">
        <v>560</v>
      </c>
    </row>
    <row r="104" spans="1:7" ht="43.2" hidden="1" x14ac:dyDescent="0.3">
      <c r="A104" s="10">
        <v>103</v>
      </c>
      <c r="B104" s="10" t="s">
        <v>1272</v>
      </c>
      <c r="C104" s="10" t="s">
        <v>265</v>
      </c>
      <c r="D104" s="10" t="s">
        <v>1172</v>
      </c>
      <c r="E104" s="10" t="s">
        <v>1170</v>
      </c>
      <c r="F104" s="10" t="s">
        <v>1274</v>
      </c>
      <c r="G104" s="10" t="s">
        <v>561</v>
      </c>
    </row>
    <row r="105" spans="1:7" ht="43.2" hidden="1" x14ac:dyDescent="0.3">
      <c r="A105" s="10">
        <v>104</v>
      </c>
      <c r="B105" s="10" t="s">
        <v>1272</v>
      </c>
      <c r="C105" s="10" t="s">
        <v>266</v>
      </c>
      <c r="D105" s="10" t="s">
        <v>1174</v>
      </c>
      <c r="E105" s="10" t="s">
        <v>1170</v>
      </c>
      <c r="F105" s="10" t="s">
        <v>1275</v>
      </c>
      <c r="G105" s="10" t="s">
        <v>562</v>
      </c>
    </row>
    <row r="106" spans="1:7" ht="43.2" hidden="1" x14ac:dyDescent="0.3">
      <c r="A106" s="10">
        <v>105</v>
      </c>
      <c r="B106" s="10" t="s">
        <v>1272</v>
      </c>
      <c r="C106" s="10" t="s">
        <v>267</v>
      </c>
      <c r="D106" s="10" t="s">
        <v>1176</v>
      </c>
      <c r="E106" s="10" t="s">
        <v>1170</v>
      </c>
      <c r="F106" s="10" t="s">
        <v>1276</v>
      </c>
      <c r="G106" s="10" t="s">
        <v>563</v>
      </c>
    </row>
    <row r="107" spans="1:7" ht="43.2" hidden="1" x14ac:dyDescent="0.3">
      <c r="A107" s="10">
        <v>106</v>
      </c>
      <c r="B107" s="10" t="s">
        <v>1272</v>
      </c>
      <c r="C107" s="10" t="s">
        <v>268</v>
      </c>
      <c r="D107" s="10" t="s">
        <v>1178</v>
      </c>
      <c r="E107" s="10" t="s">
        <v>1170</v>
      </c>
      <c r="F107" s="10" t="s">
        <v>1277</v>
      </c>
      <c r="G107" s="10" t="s">
        <v>564</v>
      </c>
    </row>
    <row r="108" spans="1:7" ht="28.8" hidden="1" x14ac:dyDescent="0.3">
      <c r="A108" s="10">
        <v>107</v>
      </c>
      <c r="B108" s="10" t="s">
        <v>1272</v>
      </c>
      <c r="C108" s="10" t="s">
        <v>269</v>
      </c>
      <c r="D108" s="10" t="s">
        <v>1180</v>
      </c>
      <c r="E108" s="10" t="s">
        <v>1170</v>
      </c>
      <c r="F108" s="10" t="s">
        <v>1278</v>
      </c>
      <c r="G108" s="10" t="s">
        <v>565</v>
      </c>
    </row>
    <row r="109" spans="1:7" ht="43.2" hidden="1" x14ac:dyDescent="0.3">
      <c r="A109" s="10">
        <v>108</v>
      </c>
      <c r="B109" s="10" t="s">
        <v>1272</v>
      </c>
      <c r="C109" s="10" t="s">
        <v>270</v>
      </c>
      <c r="D109" s="10" t="s">
        <v>1182</v>
      </c>
      <c r="E109" s="10" t="s">
        <v>1170</v>
      </c>
      <c r="F109" s="10" t="s">
        <v>1279</v>
      </c>
      <c r="G109" s="10" t="s">
        <v>566</v>
      </c>
    </row>
    <row r="110" spans="1:7" ht="43.2" hidden="1" x14ac:dyDescent="0.3">
      <c r="A110" s="10">
        <v>109</v>
      </c>
      <c r="B110" s="10" t="s">
        <v>1272</v>
      </c>
      <c r="C110" s="10" t="s">
        <v>271</v>
      </c>
      <c r="D110" s="10" t="s">
        <v>1184</v>
      </c>
      <c r="E110" s="10" t="s">
        <v>1170</v>
      </c>
      <c r="F110" s="10" t="s">
        <v>1280</v>
      </c>
      <c r="G110" s="10" t="s">
        <v>567</v>
      </c>
    </row>
    <row r="111" spans="1:7" ht="43.2" hidden="1" x14ac:dyDescent="0.3">
      <c r="A111" s="10">
        <v>110</v>
      </c>
      <c r="B111" s="10" t="s">
        <v>1272</v>
      </c>
      <c r="C111" s="10" t="s">
        <v>272</v>
      </c>
      <c r="D111" s="10" t="s">
        <v>1186</v>
      </c>
      <c r="E111" s="10" t="s">
        <v>1170</v>
      </c>
      <c r="F111" s="10" t="s">
        <v>1281</v>
      </c>
      <c r="G111" s="10" t="s">
        <v>568</v>
      </c>
    </row>
    <row r="112" spans="1:7" ht="43.2" hidden="1" x14ac:dyDescent="0.3">
      <c r="A112" s="10">
        <v>111</v>
      </c>
      <c r="B112" s="10" t="s">
        <v>1272</v>
      </c>
      <c r="C112" s="10" t="s">
        <v>273</v>
      </c>
      <c r="D112" s="10" t="s">
        <v>1188</v>
      </c>
      <c r="E112" s="10" t="s">
        <v>1170</v>
      </c>
      <c r="F112" s="10" t="s">
        <v>1282</v>
      </c>
      <c r="G112" s="10" t="s">
        <v>569</v>
      </c>
    </row>
    <row r="113" spans="1:7" ht="43.2" hidden="1" x14ac:dyDescent="0.3">
      <c r="A113" s="10">
        <v>112</v>
      </c>
      <c r="B113" s="10" t="s">
        <v>1272</v>
      </c>
      <c r="C113" s="10" t="s">
        <v>274</v>
      </c>
      <c r="D113" s="10" t="s">
        <v>1190</v>
      </c>
      <c r="E113" s="10" t="s">
        <v>1170</v>
      </c>
      <c r="F113" s="10" t="s">
        <v>1283</v>
      </c>
      <c r="G113" s="10" t="s">
        <v>570</v>
      </c>
    </row>
    <row r="114" spans="1:7" ht="43.2" hidden="1" x14ac:dyDescent="0.3">
      <c r="A114" s="10">
        <v>113</v>
      </c>
      <c r="B114" s="10" t="s">
        <v>1272</v>
      </c>
      <c r="C114" s="10" t="s">
        <v>275</v>
      </c>
      <c r="D114" s="10" t="s">
        <v>1192</v>
      </c>
      <c r="E114" s="10" t="s">
        <v>1170</v>
      </c>
      <c r="F114" s="10" t="s">
        <v>1284</v>
      </c>
      <c r="G114" s="10" t="s">
        <v>571</v>
      </c>
    </row>
    <row r="115" spans="1:7" ht="43.2" hidden="1" x14ac:dyDescent="0.3">
      <c r="A115" s="10">
        <v>114</v>
      </c>
      <c r="B115" s="10" t="s">
        <v>1272</v>
      </c>
      <c r="C115" s="10" t="s">
        <v>276</v>
      </c>
      <c r="D115" s="10" t="s">
        <v>1194</v>
      </c>
      <c r="E115" s="10" t="s">
        <v>1170</v>
      </c>
      <c r="F115" s="10" t="s">
        <v>1285</v>
      </c>
      <c r="G115" s="10" t="s">
        <v>572</v>
      </c>
    </row>
    <row r="116" spans="1:7" ht="28.8" hidden="1" x14ac:dyDescent="0.3">
      <c r="A116" s="10">
        <v>115</v>
      </c>
      <c r="B116" s="10" t="s">
        <v>1272</v>
      </c>
      <c r="C116" s="10" t="s">
        <v>277</v>
      </c>
      <c r="D116" s="10" t="s">
        <v>1196</v>
      </c>
      <c r="E116" s="10" t="s">
        <v>1170</v>
      </c>
      <c r="F116" s="10" t="s">
        <v>1286</v>
      </c>
      <c r="G116" s="10" t="s">
        <v>573</v>
      </c>
    </row>
    <row r="117" spans="1:7" ht="28.8" hidden="1" x14ac:dyDescent="0.3">
      <c r="A117" s="10">
        <v>116</v>
      </c>
      <c r="B117" s="10" t="s">
        <v>1272</v>
      </c>
      <c r="C117" s="10" t="s">
        <v>278</v>
      </c>
      <c r="D117" s="10" t="s">
        <v>1198</v>
      </c>
      <c r="E117" s="10" t="s">
        <v>1170</v>
      </c>
      <c r="F117" s="10" t="s">
        <v>1287</v>
      </c>
      <c r="G117" s="10" t="s">
        <v>574</v>
      </c>
    </row>
    <row r="118" spans="1:7" ht="28.8" hidden="1" x14ac:dyDescent="0.3">
      <c r="A118" s="10">
        <v>117</v>
      </c>
      <c r="B118" s="10" t="s">
        <v>1272</v>
      </c>
      <c r="C118" s="10" t="s">
        <v>279</v>
      </c>
      <c r="D118" s="10" t="s">
        <v>1200</v>
      </c>
      <c r="E118" s="10" t="s">
        <v>1170</v>
      </c>
      <c r="F118" s="10" t="s">
        <v>1288</v>
      </c>
      <c r="G118" s="10" t="s">
        <v>575</v>
      </c>
    </row>
    <row r="119" spans="1:7" ht="28.8" hidden="1" x14ac:dyDescent="0.3">
      <c r="A119" s="10">
        <v>118</v>
      </c>
      <c r="B119" s="10" t="s">
        <v>1272</v>
      </c>
      <c r="C119" s="10" t="s">
        <v>280</v>
      </c>
      <c r="D119" s="10" t="s">
        <v>1202</v>
      </c>
      <c r="E119" s="10" t="s">
        <v>1170</v>
      </c>
      <c r="F119" s="10" t="s">
        <v>1289</v>
      </c>
      <c r="G119" s="10" t="s">
        <v>576</v>
      </c>
    </row>
    <row r="120" spans="1:7" ht="28.8" hidden="1" x14ac:dyDescent="0.3">
      <c r="A120" s="10">
        <v>119</v>
      </c>
      <c r="B120" s="10" t="s">
        <v>1272</v>
      </c>
      <c r="C120" s="10" t="s">
        <v>281</v>
      </c>
      <c r="D120" s="10" t="s">
        <v>1204</v>
      </c>
      <c r="E120" s="10" t="s">
        <v>1170</v>
      </c>
      <c r="F120" s="10" t="s">
        <v>1290</v>
      </c>
      <c r="G120" s="10" t="s">
        <v>577</v>
      </c>
    </row>
    <row r="121" spans="1:7" ht="28.8" hidden="1" x14ac:dyDescent="0.3">
      <c r="A121" s="10">
        <v>120</v>
      </c>
      <c r="B121" s="10" t="s">
        <v>1272</v>
      </c>
      <c r="C121" s="10" t="s">
        <v>282</v>
      </c>
      <c r="D121" s="10" t="s">
        <v>1206</v>
      </c>
      <c r="E121" s="10" t="s">
        <v>1170</v>
      </c>
      <c r="F121" s="10" t="s">
        <v>1291</v>
      </c>
      <c r="G121" s="10" t="s">
        <v>578</v>
      </c>
    </row>
    <row r="122" spans="1:7" ht="43.2" hidden="1" x14ac:dyDescent="0.3">
      <c r="A122" s="10">
        <v>121</v>
      </c>
      <c r="B122" s="10" t="s">
        <v>1272</v>
      </c>
      <c r="C122" s="10" t="s">
        <v>283</v>
      </c>
      <c r="D122" s="10" t="s">
        <v>1208</v>
      </c>
      <c r="E122" s="10" t="s">
        <v>1170</v>
      </c>
      <c r="F122" s="10" t="s">
        <v>1292</v>
      </c>
      <c r="G122" s="10" t="s">
        <v>579</v>
      </c>
    </row>
    <row r="123" spans="1:7" ht="43.2" hidden="1" x14ac:dyDescent="0.3">
      <c r="A123" s="10">
        <v>122</v>
      </c>
      <c r="B123" s="10" t="s">
        <v>1272</v>
      </c>
      <c r="C123" s="10" t="s">
        <v>284</v>
      </c>
      <c r="D123" s="10" t="s">
        <v>1210</v>
      </c>
      <c r="E123" s="10" t="s">
        <v>1170</v>
      </c>
      <c r="F123" s="10" t="s">
        <v>1293</v>
      </c>
      <c r="G123" s="10" t="s">
        <v>580</v>
      </c>
    </row>
    <row r="124" spans="1:7" ht="28.8" hidden="1" x14ac:dyDescent="0.3">
      <c r="A124" s="10">
        <v>123</v>
      </c>
      <c r="B124" s="10" t="s">
        <v>1272</v>
      </c>
      <c r="C124" s="10" t="s">
        <v>285</v>
      </c>
      <c r="D124" s="10" t="s">
        <v>1212</v>
      </c>
      <c r="E124" s="10" t="s">
        <v>1170</v>
      </c>
      <c r="F124" s="10" t="s">
        <v>1294</v>
      </c>
      <c r="G124" s="10" t="s">
        <v>581</v>
      </c>
    </row>
    <row r="125" spans="1:7" ht="28.8" hidden="1" x14ac:dyDescent="0.3">
      <c r="A125" s="10">
        <v>124</v>
      </c>
      <c r="B125" s="10" t="s">
        <v>1272</v>
      </c>
      <c r="C125" s="10" t="s">
        <v>286</v>
      </c>
      <c r="D125" s="10" t="s">
        <v>1214</v>
      </c>
      <c r="E125" s="10" t="s">
        <v>1170</v>
      </c>
      <c r="F125" s="10" t="s">
        <v>1295</v>
      </c>
      <c r="G125" s="10" t="s">
        <v>582</v>
      </c>
    </row>
    <row r="126" spans="1:7" ht="43.2" hidden="1" x14ac:dyDescent="0.3">
      <c r="A126" s="10">
        <v>125</v>
      </c>
      <c r="B126" s="10" t="s">
        <v>1272</v>
      </c>
      <c r="C126" s="10" t="s">
        <v>287</v>
      </c>
      <c r="D126" s="10" t="s">
        <v>1216</v>
      </c>
      <c r="E126" s="10" t="s">
        <v>1170</v>
      </c>
      <c r="F126" s="10" t="s">
        <v>1296</v>
      </c>
      <c r="G126" s="10" t="s">
        <v>583</v>
      </c>
    </row>
    <row r="127" spans="1:7" ht="28.8" hidden="1" x14ac:dyDescent="0.3">
      <c r="A127" s="10">
        <v>126</v>
      </c>
      <c r="B127" s="10" t="s">
        <v>1272</v>
      </c>
      <c r="C127" s="10" t="s">
        <v>288</v>
      </c>
      <c r="D127" s="10" t="s">
        <v>1218</v>
      </c>
      <c r="E127" s="10" t="s">
        <v>1170</v>
      </c>
      <c r="F127" s="10" t="s">
        <v>1297</v>
      </c>
      <c r="G127" s="10" t="s">
        <v>584</v>
      </c>
    </row>
    <row r="128" spans="1:7" ht="43.2" hidden="1" x14ac:dyDescent="0.3">
      <c r="A128" s="10">
        <v>127</v>
      </c>
      <c r="B128" s="10" t="s">
        <v>1272</v>
      </c>
      <c r="C128" s="10" t="s">
        <v>289</v>
      </c>
      <c r="D128" s="10" t="s">
        <v>1220</v>
      </c>
      <c r="E128" s="10" t="s">
        <v>1170</v>
      </c>
      <c r="F128" s="10" t="s">
        <v>1298</v>
      </c>
      <c r="G128" s="10" t="s">
        <v>585</v>
      </c>
    </row>
    <row r="129" spans="1:7" ht="28.8" hidden="1" x14ac:dyDescent="0.3">
      <c r="A129" s="10">
        <v>128</v>
      </c>
      <c r="B129" s="10" t="s">
        <v>1272</v>
      </c>
      <c r="C129" s="10" t="s">
        <v>290</v>
      </c>
      <c r="D129" s="10" t="s">
        <v>1222</v>
      </c>
      <c r="E129" s="10" t="s">
        <v>1170</v>
      </c>
      <c r="F129" s="10" t="s">
        <v>1299</v>
      </c>
      <c r="G129" s="10" t="s">
        <v>586</v>
      </c>
    </row>
    <row r="130" spans="1:7" ht="28.8" hidden="1" x14ac:dyDescent="0.3">
      <c r="A130" s="10">
        <v>129</v>
      </c>
      <c r="B130" s="10" t="s">
        <v>1272</v>
      </c>
      <c r="C130" s="10" t="s">
        <v>291</v>
      </c>
      <c r="D130" s="10" t="s">
        <v>1224</v>
      </c>
      <c r="E130" s="10" t="s">
        <v>1170</v>
      </c>
      <c r="F130" s="10" t="s">
        <v>1300</v>
      </c>
      <c r="G130" s="10" t="s">
        <v>587</v>
      </c>
    </row>
    <row r="131" spans="1:7" ht="43.2" hidden="1" x14ac:dyDescent="0.3">
      <c r="A131" s="10">
        <v>130</v>
      </c>
      <c r="B131" s="10" t="s">
        <v>1272</v>
      </c>
      <c r="C131" s="10" t="s">
        <v>292</v>
      </c>
      <c r="D131" s="10" t="s">
        <v>1226</v>
      </c>
      <c r="E131" s="10" t="s">
        <v>1170</v>
      </c>
      <c r="F131" s="10" t="s">
        <v>1301</v>
      </c>
      <c r="G131" s="10" t="s">
        <v>588</v>
      </c>
    </row>
    <row r="132" spans="1:7" ht="43.2" hidden="1" x14ac:dyDescent="0.3">
      <c r="A132" s="10">
        <v>131</v>
      </c>
      <c r="B132" s="10" t="s">
        <v>1272</v>
      </c>
      <c r="C132" s="10" t="s">
        <v>293</v>
      </c>
      <c r="D132" s="10" t="s">
        <v>1228</v>
      </c>
      <c r="E132" s="10" t="s">
        <v>1170</v>
      </c>
      <c r="F132" s="10" t="s">
        <v>1302</v>
      </c>
      <c r="G132" s="10" t="s">
        <v>589</v>
      </c>
    </row>
    <row r="133" spans="1:7" ht="43.2" hidden="1" x14ac:dyDescent="0.3">
      <c r="A133" s="10">
        <v>132</v>
      </c>
      <c r="B133" s="10" t="s">
        <v>1272</v>
      </c>
      <c r="C133" s="10" t="s">
        <v>294</v>
      </c>
      <c r="D133" s="10" t="s">
        <v>1230</v>
      </c>
      <c r="E133" s="10" t="s">
        <v>1170</v>
      </c>
      <c r="F133" s="10" t="s">
        <v>1303</v>
      </c>
      <c r="G133" s="10" t="s">
        <v>590</v>
      </c>
    </row>
    <row r="134" spans="1:7" ht="43.2" hidden="1" x14ac:dyDescent="0.3">
      <c r="A134" s="10">
        <v>133</v>
      </c>
      <c r="B134" s="10" t="s">
        <v>1272</v>
      </c>
      <c r="C134" s="10" t="s">
        <v>295</v>
      </c>
      <c r="D134" s="10" t="s">
        <v>1232</v>
      </c>
      <c r="E134" s="10" t="s">
        <v>1170</v>
      </c>
      <c r="F134" s="10" t="s">
        <v>1304</v>
      </c>
      <c r="G134" s="10" t="s">
        <v>591</v>
      </c>
    </row>
    <row r="135" spans="1:7" ht="28.8" hidden="1" x14ac:dyDescent="0.3">
      <c r="A135" s="10">
        <v>134</v>
      </c>
      <c r="B135" s="10" t="s">
        <v>1272</v>
      </c>
      <c r="C135" s="10" t="s">
        <v>297</v>
      </c>
      <c r="D135" s="10" t="s">
        <v>1238</v>
      </c>
      <c r="E135" s="10" t="s">
        <v>1170</v>
      </c>
      <c r="F135" s="10" t="s">
        <v>1305</v>
      </c>
      <c r="G135" s="10" t="s">
        <v>592</v>
      </c>
    </row>
    <row r="136" spans="1:7" ht="28.8" hidden="1" x14ac:dyDescent="0.3">
      <c r="A136" s="10">
        <v>135</v>
      </c>
      <c r="B136" s="10" t="s">
        <v>1272</v>
      </c>
      <c r="C136" s="10" t="s">
        <v>298</v>
      </c>
      <c r="D136" s="10" t="s">
        <v>1240</v>
      </c>
      <c r="E136" s="10" t="s">
        <v>1170</v>
      </c>
      <c r="F136" s="10" t="s">
        <v>1306</v>
      </c>
      <c r="G136" s="10" t="s">
        <v>593</v>
      </c>
    </row>
    <row r="137" spans="1:7" ht="43.2" hidden="1" x14ac:dyDescent="0.3">
      <c r="A137" s="10">
        <v>136</v>
      </c>
      <c r="B137" s="10" t="s">
        <v>1272</v>
      </c>
      <c r="C137" s="10" t="s">
        <v>299</v>
      </c>
      <c r="D137" s="10" t="s">
        <v>1242</v>
      </c>
      <c r="E137" s="10" t="s">
        <v>1170</v>
      </c>
      <c r="F137" s="10" t="s">
        <v>1307</v>
      </c>
      <c r="G137" s="10" t="s">
        <v>594</v>
      </c>
    </row>
    <row r="138" spans="1:7" ht="43.2" hidden="1" x14ac:dyDescent="0.3">
      <c r="A138" s="10">
        <v>137</v>
      </c>
      <c r="B138" s="10" t="s">
        <v>1272</v>
      </c>
      <c r="C138" s="10" t="s">
        <v>300</v>
      </c>
      <c r="D138" s="10" t="s">
        <v>1244</v>
      </c>
      <c r="E138" s="10" t="s">
        <v>1170</v>
      </c>
      <c r="F138" s="10" t="s">
        <v>1308</v>
      </c>
      <c r="G138" s="10" t="s">
        <v>595</v>
      </c>
    </row>
    <row r="139" spans="1:7" ht="43.2" hidden="1" x14ac:dyDescent="0.3">
      <c r="A139" s="10">
        <v>138</v>
      </c>
      <c r="B139" s="10" t="s">
        <v>1272</v>
      </c>
      <c r="C139" s="10" t="s">
        <v>301</v>
      </c>
      <c r="D139" s="10" t="s">
        <v>1246</v>
      </c>
      <c r="E139" s="10" t="s">
        <v>1170</v>
      </c>
      <c r="F139" s="10" t="s">
        <v>1309</v>
      </c>
      <c r="G139" s="10" t="s">
        <v>596</v>
      </c>
    </row>
    <row r="140" spans="1:7" ht="43.2" hidden="1" x14ac:dyDescent="0.3">
      <c r="A140" s="10">
        <v>139</v>
      </c>
      <c r="B140" s="10" t="s">
        <v>1272</v>
      </c>
      <c r="C140" s="10" t="s">
        <v>302</v>
      </c>
      <c r="D140" s="10" t="s">
        <v>1248</v>
      </c>
      <c r="E140" s="10" t="s">
        <v>1170</v>
      </c>
      <c r="F140" s="10" t="s">
        <v>1310</v>
      </c>
      <c r="G140" s="10" t="s">
        <v>597</v>
      </c>
    </row>
    <row r="141" spans="1:7" ht="43.2" hidden="1" x14ac:dyDescent="0.3">
      <c r="A141" s="10">
        <v>140</v>
      </c>
      <c r="B141" s="10" t="s">
        <v>1272</v>
      </c>
      <c r="C141" s="10" t="s">
        <v>303</v>
      </c>
      <c r="D141" s="10" t="s">
        <v>1250</v>
      </c>
      <c r="E141" s="10" t="s">
        <v>1170</v>
      </c>
      <c r="F141" s="10" t="s">
        <v>1311</v>
      </c>
      <c r="G141" s="10" t="s">
        <v>598</v>
      </c>
    </row>
    <row r="142" spans="1:7" ht="28.8" hidden="1" x14ac:dyDescent="0.3">
      <c r="A142" s="10">
        <v>141</v>
      </c>
      <c r="B142" s="10" t="s">
        <v>1272</v>
      </c>
      <c r="C142" s="10" t="s">
        <v>304</v>
      </c>
      <c r="D142" s="10" t="s">
        <v>1252</v>
      </c>
      <c r="E142" s="10" t="s">
        <v>1170</v>
      </c>
      <c r="F142" s="10" t="s">
        <v>1312</v>
      </c>
      <c r="G142" s="10" t="s">
        <v>599</v>
      </c>
    </row>
    <row r="143" spans="1:7" ht="43.2" hidden="1" x14ac:dyDescent="0.3">
      <c r="A143" s="10">
        <v>142</v>
      </c>
      <c r="B143" s="10" t="s">
        <v>1272</v>
      </c>
      <c r="C143" s="10" t="s">
        <v>305</v>
      </c>
      <c r="D143" s="10" t="s">
        <v>1254</v>
      </c>
      <c r="E143" s="10" t="s">
        <v>1170</v>
      </c>
      <c r="F143" s="10" t="s">
        <v>1313</v>
      </c>
      <c r="G143" s="10" t="s">
        <v>600</v>
      </c>
    </row>
    <row r="144" spans="1:7" ht="28.8" hidden="1" x14ac:dyDescent="0.3">
      <c r="A144" s="10">
        <v>143</v>
      </c>
      <c r="B144" s="10" t="s">
        <v>1272</v>
      </c>
      <c r="C144" s="10" t="s">
        <v>306</v>
      </c>
      <c r="D144" s="10" t="s">
        <v>1256</v>
      </c>
      <c r="E144" s="10" t="s">
        <v>1170</v>
      </c>
      <c r="F144" s="10" t="s">
        <v>1314</v>
      </c>
      <c r="G144" s="10" t="s">
        <v>601</v>
      </c>
    </row>
    <row r="145" spans="1:7" ht="28.8" hidden="1" x14ac:dyDescent="0.3">
      <c r="A145" s="10">
        <v>144</v>
      </c>
      <c r="B145" s="10" t="s">
        <v>1272</v>
      </c>
      <c r="C145" s="10" t="s">
        <v>307</v>
      </c>
      <c r="D145" s="10" t="s">
        <v>1260</v>
      </c>
      <c r="E145" s="10" t="s">
        <v>1170</v>
      </c>
      <c r="F145" s="10" t="s">
        <v>1315</v>
      </c>
      <c r="G145" s="10" t="s">
        <v>602</v>
      </c>
    </row>
    <row r="146" spans="1:7" ht="28.8" hidden="1" x14ac:dyDescent="0.3">
      <c r="A146" s="10">
        <v>145</v>
      </c>
      <c r="B146" s="10" t="s">
        <v>1272</v>
      </c>
      <c r="C146" s="10" t="s">
        <v>308</v>
      </c>
      <c r="D146" s="10" t="s">
        <v>1316</v>
      </c>
      <c r="E146" s="10" t="s">
        <v>1170</v>
      </c>
      <c r="F146" s="10" t="s">
        <v>1317</v>
      </c>
      <c r="G146" s="10" t="s">
        <v>603</v>
      </c>
    </row>
    <row r="147" spans="1:7" ht="28.8" hidden="1" x14ac:dyDescent="0.3">
      <c r="A147" s="10">
        <v>146</v>
      </c>
      <c r="B147" s="10" t="s">
        <v>1318</v>
      </c>
      <c r="C147" s="10" t="s">
        <v>605</v>
      </c>
      <c r="D147" s="10" t="s">
        <v>1319</v>
      </c>
      <c r="F147" s="10" t="s">
        <v>1320</v>
      </c>
      <c r="G147" s="10" t="s">
        <v>606</v>
      </c>
    </row>
    <row r="148" spans="1:7" ht="28.8" hidden="1" x14ac:dyDescent="0.3">
      <c r="A148" s="10">
        <v>147</v>
      </c>
      <c r="B148" s="10" t="s">
        <v>1321</v>
      </c>
      <c r="C148" s="10" t="s">
        <v>1322</v>
      </c>
      <c r="D148" s="10" t="s">
        <v>1323</v>
      </c>
      <c r="F148" s="10" t="s">
        <v>1324</v>
      </c>
      <c r="G148" s="10" t="s">
        <v>1325</v>
      </c>
    </row>
    <row r="149" spans="1:7" ht="28.8" hidden="1" x14ac:dyDescent="0.3">
      <c r="A149" s="10">
        <v>148</v>
      </c>
      <c r="B149" s="10" t="s">
        <v>1326</v>
      </c>
      <c r="C149" s="10" t="s">
        <v>309</v>
      </c>
      <c r="D149" s="10" t="s">
        <v>1327</v>
      </c>
      <c r="E149" s="10" t="s">
        <v>1328</v>
      </c>
      <c r="F149" s="10" t="s">
        <v>1329</v>
      </c>
      <c r="G149" s="10" t="s">
        <v>608</v>
      </c>
    </row>
    <row r="150" spans="1:7" ht="28.8" hidden="1" x14ac:dyDescent="0.3">
      <c r="A150" s="10">
        <v>149</v>
      </c>
      <c r="B150" s="10" t="s">
        <v>1326</v>
      </c>
      <c r="C150" s="10" t="s">
        <v>310</v>
      </c>
      <c r="D150" s="10" t="s">
        <v>1328</v>
      </c>
      <c r="E150" s="10" t="s">
        <v>1137</v>
      </c>
      <c r="F150" s="10" t="s">
        <v>1330</v>
      </c>
      <c r="G150" s="10" t="s">
        <v>609</v>
      </c>
    </row>
    <row r="151" spans="1:7" ht="28.8" hidden="1" x14ac:dyDescent="0.3">
      <c r="A151" s="10">
        <v>150</v>
      </c>
      <c r="B151" s="10" t="s">
        <v>1331</v>
      </c>
      <c r="C151" s="10" t="s">
        <v>123</v>
      </c>
      <c r="D151" s="10" t="s">
        <v>1332</v>
      </c>
      <c r="E151" s="10" t="s">
        <v>1333</v>
      </c>
      <c r="F151" s="10" t="s">
        <v>1334</v>
      </c>
      <c r="G151" s="10" t="s">
        <v>611</v>
      </c>
    </row>
    <row r="152" spans="1:7" ht="28.8" hidden="1" x14ac:dyDescent="0.3">
      <c r="A152" s="10">
        <v>151</v>
      </c>
      <c r="B152" s="10" t="s">
        <v>1331</v>
      </c>
      <c r="C152" s="10" t="s">
        <v>311</v>
      </c>
      <c r="D152" s="10" t="s">
        <v>1335</v>
      </c>
      <c r="E152" s="10" t="s">
        <v>1336</v>
      </c>
      <c r="F152" s="10" t="s">
        <v>1337</v>
      </c>
      <c r="G152" s="10" t="s">
        <v>612</v>
      </c>
    </row>
    <row r="153" spans="1:7" ht="28.8" hidden="1" x14ac:dyDescent="0.3">
      <c r="A153" s="10">
        <v>152</v>
      </c>
      <c r="B153" s="10" t="s">
        <v>1331</v>
      </c>
      <c r="C153" s="10" t="s">
        <v>124</v>
      </c>
      <c r="D153" s="10" t="s">
        <v>1338</v>
      </c>
      <c r="E153" s="10" t="s">
        <v>1333</v>
      </c>
      <c r="F153" s="10" t="s">
        <v>1339</v>
      </c>
      <c r="G153" s="10" t="s">
        <v>613</v>
      </c>
    </row>
    <row r="154" spans="1:7" ht="43.2" hidden="1" x14ac:dyDescent="0.3">
      <c r="A154" s="10">
        <v>153</v>
      </c>
      <c r="B154" s="10" t="s">
        <v>1331</v>
      </c>
      <c r="C154" s="10" t="s">
        <v>312</v>
      </c>
      <c r="D154" s="10" t="s">
        <v>1340</v>
      </c>
      <c r="E154" s="10" t="s">
        <v>1336</v>
      </c>
      <c r="F154" s="10" t="s">
        <v>1341</v>
      </c>
      <c r="G154" s="10" t="s">
        <v>614</v>
      </c>
    </row>
    <row r="155" spans="1:7" ht="28.8" hidden="1" x14ac:dyDescent="0.3">
      <c r="A155" s="10">
        <v>154</v>
      </c>
      <c r="B155" s="10" t="s">
        <v>1331</v>
      </c>
      <c r="C155" s="10" t="s">
        <v>313</v>
      </c>
      <c r="D155" s="10" t="s">
        <v>1342</v>
      </c>
      <c r="E155" s="10" t="s">
        <v>1328</v>
      </c>
      <c r="F155" s="10" t="s">
        <v>1343</v>
      </c>
      <c r="G155" s="10" t="s">
        <v>615</v>
      </c>
    </row>
    <row r="156" spans="1:7" ht="43.2" hidden="1" x14ac:dyDescent="0.3">
      <c r="A156" s="10">
        <v>155</v>
      </c>
      <c r="B156" s="10" t="s">
        <v>1331</v>
      </c>
      <c r="C156" s="10" t="s">
        <v>314</v>
      </c>
      <c r="D156" s="10" t="s">
        <v>1336</v>
      </c>
      <c r="E156" s="10" t="s">
        <v>1344</v>
      </c>
      <c r="F156" s="10" t="s">
        <v>1345</v>
      </c>
      <c r="G156" s="10" t="s">
        <v>616</v>
      </c>
    </row>
    <row r="157" spans="1:7" ht="28.8" hidden="1" x14ac:dyDescent="0.3">
      <c r="A157" s="10">
        <v>156</v>
      </c>
      <c r="B157" s="10" t="s">
        <v>1331</v>
      </c>
      <c r="C157" s="10" t="s">
        <v>126</v>
      </c>
      <c r="D157" s="10" t="s">
        <v>1333</v>
      </c>
      <c r="E157" s="10" t="s">
        <v>1342</v>
      </c>
      <c r="F157" s="10" t="s">
        <v>1346</v>
      </c>
      <c r="G157" s="10" t="s">
        <v>617</v>
      </c>
    </row>
    <row r="158" spans="1:7" ht="28.8" hidden="1" x14ac:dyDescent="0.3">
      <c r="A158" s="10">
        <v>157</v>
      </c>
      <c r="B158" s="10" t="s">
        <v>1331</v>
      </c>
      <c r="C158" s="10" t="s">
        <v>315</v>
      </c>
      <c r="D158" s="10" t="s">
        <v>1347</v>
      </c>
      <c r="E158" s="10" t="s">
        <v>1336</v>
      </c>
      <c r="F158" s="10" t="s">
        <v>1348</v>
      </c>
      <c r="G158" s="10" t="s">
        <v>618</v>
      </c>
    </row>
    <row r="159" spans="1:7" ht="28.8" hidden="1" x14ac:dyDescent="0.3">
      <c r="A159" s="10">
        <v>158</v>
      </c>
      <c r="B159" s="10" t="s">
        <v>1331</v>
      </c>
      <c r="C159" s="10" t="s">
        <v>316</v>
      </c>
      <c r="D159" s="10" t="s">
        <v>1349</v>
      </c>
      <c r="E159" s="10" t="s">
        <v>1344</v>
      </c>
      <c r="F159" s="10" t="s">
        <v>1350</v>
      </c>
      <c r="G159" s="10" t="s">
        <v>619</v>
      </c>
    </row>
    <row r="160" spans="1:7" ht="28.8" hidden="1" x14ac:dyDescent="0.3">
      <c r="A160" s="10">
        <v>159</v>
      </c>
      <c r="B160" s="10" t="s">
        <v>1331</v>
      </c>
      <c r="C160" s="10" t="s">
        <v>128</v>
      </c>
      <c r="D160" s="10" t="s">
        <v>1351</v>
      </c>
      <c r="E160" s="10" t="s">
        <v>1338</v>
      </c>
      <c r="F160" s="10" t="s">
        <v>1352</v>
      </c>
      <c r="G160" s="10" t="s">
        <v>620</v>
      </c>
    </row>
    <row r="161" spans="1:7" ht="28.8" hidden="1" x14ac:dyDescent="0.3">
      <c r="A161" s="10">
        <v>160</v>
      </c>
      <c r="B161" s="10" t="s">
        <v>1331</v>
      </c>
      <c r="C161" s="10" t="s">
        <v>317</v>
      </c>
      <c r="D161" s="10" t="s">
        <v>1353</v>
      </c>
      <c r="E161" s="10" t="s">
        <v>1354</v>
      </c>
      <c r="F161" s="10" t="s">
        <v>1355</v>
      </c>
      <c r="G161" s="10" t="s">
        <v>621</v>
      </c>
    </row>
    <row r="162" spans="1:7" ht="28.8" hidden="1" x14ac:dyDescent="0.3">
      <c r="A162" s="10">
        <v>161</v>
      </c>
      <c r="B162" s="10" t="s">
        <v>1356</v>
      </c>
      <c r="C162" s="10" t="s">
        <v>121</v>
      </c>
      <c r="D162" s="10" t="s">
        <v>1344</v>
      </c>
      <c r="E162" s="10" t="s">
        <v>1328</v>
      </c>
      <c r="F162" s="10" t="s">
        <v>1357</v>
      </c>
      <c r="G162" s="10" t="s">
        <v>623</v>
      </c>
    </row>
    <row r="163" spans="1:7" ht="28.8" hidden="1" x14ac:dyDescent="0.3">
      <c r="A163" s="10">
        <v>162</v>
      </c>
      <c r="B163" s="10" t="s">
        <v>1356</v>
      </c>
      <c r="C163" s="10" t="s">
        <v>125</v>
      </c>
      <c r="D163" s="10" t="s">
        <v>1358</v>
      </c>
      <c r="E163" s="10" t="s">
        <v>1344</v>
      </c>
      <c r="F163" s="10" t="s">
        <v>1359</v>
      </c>
      <c r="G163" s="10" t="s">
        <v>624</v>
      </c>
    </row>
    <row r="164" spans="1:7" ht="28.8" hidden="1" x14ac:dyDescent="0.3">
      <c r="A164" s="10">
        <v>163</v>
      </c>
      <c r="B164" s="10" t="s">
        <v>1356</v>
      </c>
      <c r="C164" s="10" t="s">
        <v>127</v>
      </c>
      <c r="D164" s="10" t="s">
        <v>1360</v>
      </c>
      <c r="E164" s="10" t="s">
        <v>1344</v>
      </c>
      <c r="F164" s="10" t="s">
        <v>1361</v>
      </c>
      <c r="G164" s="10" t="s">
        <v>625</v>
      </c>
    </row>
    <row r="165" spans="1:7" ht="43.2" hidden="1" x14ac:dyDescent="0.3">
      <c r="A165" s="10">
        <v>164</v>
      </c>
      <c r="B165" s="10" t="s">
        <v>1356</v>
      </c>
      <c r="C165" s="10" t="s">
        <v>318</v>
      </c>
      <c r="D165" s="10" t="s">
        <v>1362</v>
      </c>
      <c r="E165" s="10" t="s">
        <v>1344</v>
      </c>
      <c r="F165" s="10" t="s">
        <v>1363</v>
      </c>
      <c r="G165" s="10" t="s">
        <v>626</v>
      </c>
    </row>
    <row r="166" spans="1:7" ht="43.2" hidden="1" x14ac:dyDescent="0.3">
      <c r="A166" s="10">
        <v>165</v>
      </c>
      <c r="B166" s="10" t="s">
        <v>1356</v>
      </c>
      <c r="C166" s="10" t="s">
        <v>319</v>
      </c>
      <c r="D166" s="10" t="s">
        <v>1364</v>
      </c>
      <c r="E166" s="10" t="s">
        <v>1344</v>
      </c>
      <c r="F166" s="10" t="s">
        <v>1365</v>
      </c>
      <c r="G166" s="10" t="s">
        <v>627</v>
      </c>
    </row>
    <row r="167" spans="1:7" ht="28.8" hidden="1" x14ac:dyDescent="0.3">
      <c r="A167" s="10">
        <v>166</v>
      </c>
      <c r="B167" s="10" t="s">
        <v>1366</v>
      </c>
      <c r="C167" s="10" t="s">
        <v>320</v>
      </c>
      <c r="D167" s="10" t="s">
        <v>1367</v>
      </c>
      <c r="E167" s="10" t="s">
        <v>1332</v>
      </c>
      <c r="F167" s="10" t="s">
        <v>1368</v>
      </c>
      <c r="G167" s="10" t="s">
        <v>629</v>
      </c>
    </row>
    <row r="168" spans="1:7" ht="43.2" hidden="1" x14ac:dyDescent="0.3">
      <c r="A168" s="10">
        <v>167</v>
      </c>
      <c r="B168" s="10" t="s">
        <v>1366</v>
      </c>
      <c r="C168" s="10" t="s">
        <v>321</v>
      </c>
      <c r="D168" s="10" t="s">
        <v>1369</v>
      </c>
      <c r="E168" s="10" t="s">
        <v>1367</v>
      </c>
      <c r="F168" s="10" t="s">
        <v>1370</v>
      </c>
      <c r="G168" s="10" t="s">
        <v>630</v>
      </c>
    </row>
    <row r="169" spans="1:7" ht="43.2" hidden="1" x14ac:dyDescent="0.3">
      <c r="A169" s="10">
        <v>168</v>
      </c>
      <c r="B169" s="10" t="s">
        <v>1366</v>
      </c>
      <c r="C169" s="10" t="s">
        <v>322</v>
      </c>
      <c r="D169" s="10" t="s">
        <v>1371</v>
      </c>
      <c r="E169" s="10" t="s">
        <v>1367</v>
      </c>
      <c r="F169" s="10" t="s">
        <v>1372</v>
      </c>
      <c r="G169" s="10" t="s">
        <v>631</v>
      </c>
    </row>
    <row r="170" spans="1:7" ht="43.2" hidden="1" x14ac:dyDescent="0.3">
      <c r="A170" s="10">
        <v>169</v>
      </c>
      <c r="B170" s="10" t="s">
        <v>1366</v>
      </c>
      <c r="C170" s="10" t="s">
        <v>323</v>
      </c>
      <c r="D170" s="10" t="s">
        <v>1373</v>
      </c>
      <c r="E170" s="10" t="s">
        <v>1344</v>
      </c>
      <c r="F170" s="10" t="s">
        <v>1374</v>
      </c>
      <c r="G170" s="10" t="s">
        <v>632</v>
      </c>
    </row>
    <row r="171" spans="1:7" ht="43.2" hidden="1" x14ac:dyDescent="0.3">
      <c r="A171" s="10">
        <v>170</v>
      </c>
      <c r="B171" s="10" t="s">
        <v>1366</v>
      </c>
      <c r="C171" s="10" t="s">
        <v>324</v>
      </c>
      <c r="D171" s="10" t="s">
        <v>1375</v>
      </c>
      <c r="E171" s="10" t="s">
        <v>1367</v>
      </c>
      <c r="F171" s="10" t="s">
        <v>1376</v>
      </c>
      <c r="G171" s="10" t="s">
        <v>633</v>
      </c>
    </row>
    <row r="172" spans="1:7" ht="43.2" hidden="1" x14ac:dyDescent="0.3">
      <c r="A172" s="10">
        <v>171</v>
      </c>
      <c r="B172" s="10" t="s">
        <v>1366</v>
      </c>
      <c r="C172" s="10" t="s">
        <v>325</v>
      </c>
      <c r="D172" s="10" t="s">
        <v>1377</v>
      </c>
      <c r="E172" s="10" t="s">
        <v>1367</v>
      </c>
      <c r="F172" s="10" t="s">
        <v>1378</v>
      </c>
      <c r="G172" s="10" t="s">
        <v>634</v>
      </c>
    </row>
    <row r="173" spans="1:7" ht="43.2" hidden="1" x14ac:dyDescent="0.3">
      <c r="A173" s="10">
        <v>172</v>
      </c>
      <c r="B173" s="10" t="s">
        <v>1366</v>
      </c>
      <c r="C173" s="10" t="s">
        <v>326</v>
      </c>
      <c r="D173" s="10" t="s">
        <v>1379</v>
      </c>
      <c r="E173" s="10" t="s">
        <v>1344</v>
      </c>
      <c r="F173" s="10" t="s">
        <v>1380</v>
      </c>
      <c r="G173" s="10" t="s">
        <v>635</v>
      </c>
    </row>
    <row r="174" spans="1:7" ht="43.2" hidden="1" x14ac:dyDescent="0.3">
      <c r="A174" s="10">
        <v>173</v>
      </c>
      <c r="B174" s="10" t="s">
        <v>1366</v>
      </c>
      <c r="C174" s="10" t="s">
        <v>327</v>
      </c>
      <c r="D174" s="10" t="s">
        <v>1381</v>
      </c>
      <c r="E174" s="10" t="s">
        <v>1328</v>
      </c>
      <c r="F174" s="10" t="s">
        <v>1382</v>
      </c>
      <c r="G174" s="10" t="s">
        <v>636</v>
      </c>
    </row>
    <row r="175" spans="1:7" ht="28.8" hidden="1" x14ac:dyDescent="0.3">
      <c r="A175" s="10">
        <v>174</v>
      </c>
      <c r="B175" s="10" t="s">
        <v>1366</v>
      </c>
      <c r="C175" s="10" t="s">
        <v>328</v>
      </c>
      <c r="D175" s="10" t="s">
        <v>1354</v>
      </c>
      <c r="E175" s="10" t="s">
        <v>1328</v>
      </c>
      <c r="F175" s="10" t="s">
        <v>1383</v>
      </c>
      <c r="G175" s="10" t="s">
        <v>637</v>
      </c>
    </row>
    <row r="176" spans="1:7" ht="43.2" hidden="1" x14ac:dyDescent="0.3">
      <c r="A176" s="10">
        <v>175</v>
      </c>
      <c r="B176" s="10" t="s">
        <v>1366</v>
      </c>
      <c r="C176" s="10" t="s">
        <v>329</v>
      </c>
      <c r="D176" s="10" t="s">
        <v>1384</v>
      </c>
      <c r="E176" s="10" t="s">
        <v>1354</v>
      </c>
      <c r="F176" s="10" t="s">
        <v>1385</v>
      </c>
      <c r="G176" s="10" t="s">
        <v>638</v>
      </c>
    </row>
    <row r="177" spans="1:7" ht="28.8" hidden="1" x14ac:dyDescent="0.3">
      <c r="A177" s="10">
        <v>176</v>
      </c>
      <c r="B177" s="10" t="s">
        <v>1366</v>
      </c>
      <c r="C177" s="10" t="s">
        <v>330</v>
      </c>
      <c r="D177" s="10" t="s">
        <v>1386</v>
      </c>
      <c r="E177" s="10" t="s">
        <v>1354</v>
      </c>
      <c r="F177" s="10" t="s">
        <v>1387</v>
      </c>
      <c r="G177" s="10" t="s">
        <v>639</v>
      </c>
    </row>
    <row r="178" spans="1:7" ht="43.2" hidden="1" x14ac:dyDescent="0.3">
      <c r="A178" s="10">
        <v>177</v>
      </c>
      <c r="B178" s="10" t="s">
        <v>1366</v>
      </c>
      <c r="C178" s="10" t="s">
        <v>331</v>
      </c>
      <c r="D178" s="10" t="s">
        <v>1388</v>
      </c>
      <c r="E178" s="10" t="s">
        <v>1354</v>
      </c>
      <c r="F178" s="10" t="s">
        <v>1389</v>
      </c>
      <c r="G178" s="10" t="s">
        <v>640</v>
      </c>
    </row>
    <row r="179" spans="1:7" ht="28.8" hidden="1" x14ac:dyDescent="0.3">
      <c r="A179" s="10">
        <v>178</v>
      </c>
      <c r="B179" s="10" t="s">
        <v>1366</v>
      </c>
      <c r="C179" s="10" t="s">
        <v>332</v>
      </c>
      <c r="D179" s="10" t="s">
        <v>1390</v>
      </c>
      <c r="E179" s="10" t="s">
        <v>1354</v>
      </c>
      <c r="F179" s="10" t="s">
        <v>1391</v>
      </c>
      <c r="G179" s="10" t="s">
        <v>641</v>
      </c>
    </row>
    <row r="180" spans="1:7" ht="28.8" hidden="1" x14ac:dyDescent="0.3">
      <c r="A180" s="10">
        <v>179</v>
      </c>
      <c r="B180" s="10" t="s">
        <v>1366</v>
      </c>
      <c r="C180" s="10" t="s">
        <v>333</v>
      </c>
      <c r="D180" s="10" t="s">
        <v>1392</v>
      </c>
      <c r="E180" s="10" t="s">
        <v>1332</v>
      </c>
      <c r="F180" s="10" t="s">
        <v>1393</v>
      </c>
      <c r="G180" s="10" t="s">
        <v>642</v>
      </c>
    </row>
    <row r="181" spans="1:7" ht="28.8" hidden="1" x14ac:dyDescent="0.3">
      <c r="A181" s="10">
        <v>180</v>
      </c>
      <c r="B181" s="10" t="s">
        <v>1366</v>
      </c>
      <c r="C181" s="10" t="s">
        <v>334</v>
      </c>
      <c r="D181" s="10" t="s">
        <v>1394</v>
      </c>
      <c r="E181" s="10" t="s">
        <v>1328</v>
      </c>
      <c r="F181" s="10" t="s">
        <v>1395</v>
      </c>
      <c r="G181" s="10" t="s">
        <v>643</v>
      </c>
    </row>
    <row r="182" spans="1:7" ht="43.2" hidden="1" x14ac:dyDescent="0.3">
      <c r="A182" s="10">
        <v>181</v>
      </c>
      <c r="B182" s="10" t="s">
        <v>1366</v>
      </c>
      <c r="C182" s="10" t="s">
        <v>335</v>
      </c>
      <c r="D182" s="10" t="s">
        <v>1396</v>
      </c>
      <c r="E182" s="10" t="s">
        <v>1394</v>
      </c>
      <c r="F182" s="10" t="s">
        <v>1397</v>
      </c>
      <c r="G182" s="10" t="s">
        <v>644</v>
      </c>
    </row>
    <row r="183" spans="1:7" ht="43.2" hidden="1" x14ac:dyDescent="0.3">
      <c r="A183" s="10">
        <v>182</v>
      </c>
      <c r="B183" s="10" t="s">
        <v>1366</v>
      </c>
      <c r="C183" s="10" t="s">
        <v>336</v>
      </c>
      <c r="D183" s="10" t="s">
        <v>1398</v>
      </c>
      <c r="E183" s="10" t="s">
        <v>1332</v>
      </c>
      <c r="F183" s="10" t="s">
        <v>1399</v>
      </c>
      <c r="G183" s="10" t="s">
        <v>645</v>
      </c>
    </row>
    <row r="184" spans="1:7" ht="43.2" hidden="1" x14ac:dyDescent="0.3">
      <c r="A184" s="10">
        <v>183</v>
      </c>
      <c r="B184" s="10" t="s">
        <v>1366</v>
      </c>
      <c r="C184" s="10" t="s">
        <v>337</v>
      </c>
      <c r="D184" s="10" t="s">
        <v>1400</v>
      </c>
      <c r="E184" s="10" t="s">
        <v>1394</v>
      </c>
      <c r="F184" s="10" t="s">
        <v>1401</v>
      </c>
      <c r="G184" s="10" t="s">
        <v>646</v>
      </c>
    </row>
    <row r="185" spans="1:7" ht="43.2" hidden="1" x14ac:dyDescent="0.3">
      <c r="A185" s="10">
        <v>184</v>
      </c>
      <c r="B185" s="10" t="s">
        <v>1366</v>
      </c>
      <c r="C185" s="10" t="s">
        <v>338</v>
      </c>
      <c r="D185" s="10" t="s">
        <v>1402</v>
      </c>
      <c r="E185" s="10" t="s">
        <v>1344</v>
      </c>
      <c r="F185" s="10" t="s">
        <v>1403</v>
      </c>
      <c r="G185" s="10" t="s">
        <v>647</v>
      </c>
    </row>
    <row r="186" spans="1:7" ht="28.8" hidden="1" x14ac:dyDescent="0.3">
      <c r="A186" s="10">
        <v>185</v>
      </c>
      <c r="B186" s="10" t="s">
        <v>1366</v>
      </c>
      <c r="C186" s="10" t="s">
        <v>339</v>
      </c>
      <c r="D186" s="10" t="s">
        <v>1404</v>
      </c>
      <c r="E186" s="10" t="s">
        <v>1328</v>
      </c>
      <c r="F186" s="10" t="s">
        <v>1405</v>
      </c>
      <c r="G186" s="10" t="s">
        <v>648</v>
      </c>
    </row>
    <row r="187" spans="1:7" ht="28.8" hidden="1" x14ac:dyDescent="0.3">
      <c r="A187" s="10">
        <v>186</v>
      </c>
      <c r="B187" s="10" t="s">
        <v>1366</v>
      </c>
      <c r="C187" s="10" t="s">
        <v>340</v>
      </c>
      <c r="D187" s="10" t="s">
        <v>1406</v>
      </c>
      <c r="E187" s="10" t="s">
        <v>1344</v>
      </c>
      <c r="F187" s="10" t="s">
        <v>1407</v>
      </c>
      <c r="G187" s="10" t="s">
        <v>649</v>
      </c>
    </row>
    <row r="188" spans="1:7" ht="28.8" hidden="1" x14ac:dyDescent="0.3">
      <c r="A188" s="10">
        <v>187</v>
      </c>
      <c r="B188" s="10" t="s">
        <v>1366</v>
      </c>
      <c r="C188" s="10" t="s">
        <v>341</v>
      </c>
      <c r="D188" s="10" t="s">
        <v>1408</v>
      </c>
      <c r="E188" s="10" t="s">
        <v>1332</v>
      </c>
      <c r="F188" s="10" t="s">
        <v>1409</v>
      </c>
      <c r="G188" s="10" t="s">
        <v>650</v>
      </c>
    </row>
    <row r="189" spans="1:7" ht="28.8" hidden="1" x14ac:dyDescent="0.3">
      <c r="A189" s="10">
        <v>188</v>
      </c>
      <c r="B189" s="10" t="s">
        <v>1410</v>
      </c>
      <c r="C189" s="10" t="s">
        <v>652</v>
      </c>
      <c r="D189" s="10" t="s">
        <v>1411</v>
      </c>
      <c r="F189" s="10" t="s">
        <v>1412</v>
      </c>
      <c r="G189" s="10" t="s">
        <v>653</v>
      </c>
    </row>
    <row r="190" spans="1:7" ht="28.8" hidden="1" x14ac:dyDescent="0.3">
      <c r="A190" s="10">
        <v>189</v>
      </c>
      <c r="B190" s="10" t="s">
        <v>1410</v>
      </c>
      <c r="C190" s="10" t="s">
        <v>655</v>
      </c>
      <c r="D190" s="10" t="s">
        <v>1413</v>
      </c>
      <c r="E190" s="10" t="s">
        <v>1414</v>
      </c>
      <c r="F190" s="10" t="s">
        <v>1415</v>
      </c>
      <c r="G190" s="10" t="s">
        <v>656</v>
      </c>
    </row>
    <row r="191" spans="1:7" ht="28.8" hidden="1" x14ac:dyDescent="0.3">
      <c r="A191" s="10">
        <v>190</v>
      </c>
      <c r="B191" s="10" t="s">
        <v>1410</v>
      </c>
      <c r="C191" s="10" t="s">
        <v>657</v>
      </c>
      <c r="D191" s="10" t="s">
        <v>1414</v>
      </c>
      <c r="F191" s="10" t="s">
        <v>1416</v>
      </c>
      <c r="G191" s="10" t="s">
        <v>658</v>
      </c>
    </row>
    <row r="192" spans="1:7" ht="28.8" hidden="1" x14ac:dyDescent="0.3">
      <c r="A192" s="10">
        <v>191</v>
      </c>
      <c r="B192" s="10" t="s">
        <v>1410</v>
      </c>
      <c r="C192" s="10" t="s">
        <v>661</v>
      </c>
      <c r="D192" s="10" t="s">
        <v>1417</v>
      </c>
      <c r="F192" s="10" t="s">
        <v>1418</v>
      </c>
      <c r="G192" s="10" t="s">
        <v>662</v>
      </c>
    </row>
    <row r="193" spans="1:7" ht="28.8" hidden="1" x14ac:dyDescent="0.3">
      <c r="A193" s="10">
        <v>192</v>
      </c>
      <c r="B193" s="10" t="s">
        <v>1410</v>
      </c>
      <c r="C193" s="10" t="s">
        <v>663</v>
      </c>
      <c r="D193" s="10" t="s">
        <v>1419</v>
      </c>
      <c r="F193" s="10" t="s">
        <v>1420</v>
      </c>
      <c r="G193" s="10" t="s">
        <v>664</v>
      </c>
    </row>
    <row r="194" spans="1:7" ht="28.8" hidden="1" x14ac:dyDescent="0.3">
      <c r="A194" s="10">
        <v>193</v>
      </c>
      <c r="B194" s="10" t="s">
        <v>1410</v>
      </c>
      <c r="C194" s="10" t="s">
        <v>667</v>
      </c>
      <c r="D194" s="10" t="s">
        <v>1421</v>
      </c>
      <c r="F194" s="10" t="s">
        <v>1422</v>
      </c>
      <c r="G194" s="10" t="s">
        <v>668</v>
      </c>
    </row>
    <row r="195" spans="1:7" ht="28.8" hidden="1" x14ac:dyDescent="0.3">
      <c r="A195" s="10">
        <v>194</v>
      </c>
      <c r="B195" s="10" t="s">
        <v>1410</v>
      </c>
      <c r="C195" s="10" t="s">
        <v>446</v>
      </c>
      <c r="D195" s="10" t="s">
        <v>1423</v>
      </c>
      <c r="E195" s="10" t="s">
        <v>1424</v>
      </c>
      <c r="F195" s="10" t="s">
        <v>1425</v>
      </c>
      <c r="G195" s="10" t="s">
        <v>671</v>
      </c>
    </row>
    <row r="196" spans="1:7" ht="28.8" hidden="1" x14ac:dyDescent="0.3">
      <c r="A196" s="10">
        <v>195</v>
      </c>
      <c r="B196" s="10" t="s">
        <v>1410</v>
      </c>
      <c r="C196" s="10" t="s">
        <v>672</v>
      </c>
      <c r="D196" s="10" t="s">
        <v>1426</v>
      </c>
      <c r="E196" s="10" t="s">
        <v>1427</v>
      </c>
      <c r="F196" s="10" t="s">
        <v>1428</v>
      </c>
      <c r="G196" s="10" t="s">
        <v>673</v>
      </c>
    </row>
    <row r="197" spans="1:7" ht="28.8" hidden="1" x14ac:dyDescent="0.3">
      <c r="A197" s="10">
        <v>196</v>
      </c>
      <c r="B197" s="10" t="s">
        <v>1410</v>
      </c>
      <c r="C197" s="10" t="s">
        <v>674</v>
      </c>
      <c r="D197" s="10" t="s">
        <v>1429</v>
      </c>
      <c r="F197" s="10" t="s">
        <v>1430</v>
      </c>
      <c r="G197" s="10" t="s">
        <v>675</v>
      </c>
    </row>
    <row r="198" spans="1:7" ht="28.8" hidden="1" x14ac:dyDescent="0.3">
      <c r="A198" s="10">
        <v>197</v>
      </c>
      <c r="B198" s="10" t="s">
        <v>1410</v>
      </c>
      <c r="C198" s="10" t="s">
        <v>676</v>
      </c>
      <c r="D198" s="10" t="s">
        <v>1431</v>
      </c>
      <c r="F198" s="10" t="s">
        <v>1432</v>
      </c>
      <c r="G198" s="10" t="s">
        <v>677</v>
      </c>
    </row>
    <row r="199" spans="1:7" ht="28.8" x14ac:dyDescent="0.3">
      <c r="A199" s="10">
        <v>198</v>
      </c>
      <c r="B199" s="10" t="s">
        <v>1410</v>
      </c>
      <c r="C199" s="10" t="s">
        <v>678</v>
      </c>
      <c r="D199" s="10" t="s">
        <v>1433</v>
      </c>
      <c r="E199" s="10" t="s">
        <v>1434</v>
      </c>
      <c r="F199" s="10" t="s">
        <v>1435</v>
      </c>
      <c r="G199" s="10" t="s">
        <v>679</v>
      </c>
    </row>
    <row r="200" spans="1:7" ht="28.8" hidden="1" x14ac:dyDescent="0.3">
      <c r="A200" s="10">
        <v>199</v>
      </c>
      <c r="B200" s="10" t="s">
        <v>1410</v>
      </c>
      <c r="C200" s="10" t="s">
        <v>680</v>
      </c>
      <c r="D200" s="10" t="s">
        <v>1434</v>
      </c>
      <c r="E200" s="10" t="s">
        <v>1431</v>
      </c>
      <c r="F200" s="10" t="s">
        <v>1436</v>
      </c>
      <c r="G200" s="10" t="s">
        <v>681</v>
      </c>
    </row>
    <row r="201" spans="1:7" ht="28.8" hidden="1" x14ac:dyDescent="0.3">
      <c r="A201" s="10">
        <v>200</v>
      </c>
      <c r="B201" s="10" t="s">
        <v>1437</v>
      </c>
      <c r="C201" s="10" t="s">
        <v>123</v>
      </c>
      <c r="D201" s="10" t="s">
        <v>1332</v>
      </c>
      <c r="E201" s="10" t="s">
        <v>1413</v>
      </c>
      <c r="F201" s="10" t="s">
        <v>1438</v>
      </c>
      <c r="G201" s="10" t="s">
        <v>683</v>
      </c>
    </row>
    <row r="202" spans="1:7" ht="28.8" hidden="1" x14ac:dyDescent="0.3">
      <c r="A202" s="10">
        <v>201</v>
      </c>
      <c r="B202" s="10" t="s">
        <v>1437</v>
      </c>
      <c r="C202" s="10" t="s">
        <v>684</v>
      </c>
      <c r="D202" s="10" t="s">
        <v>1439</v>
      </c>
      <c r="E202" s="10" t="s">
        <v>1413</v>
      </c>
      <c r="F202" s="10" t="s">
        <v>1440</v>
      </c>
      <c r="G202" s="10" t="s">
        <v>685</v>
      </c>
    </row>
    <row r="203" spans="1:7" ht="28.8" hidden="1" x14ac:dyDescent="0.3">
      <c r="A203" s="10">
        <v>202</v>
      </c>
      <c r="B203" s="10" t="s">
        <v>1437</v>
      </c>
      <c r="C203" s="10" t="s">
        <v>686</v>
      </c>
      <c r="D203" s="10" t="s">
        <v>1441</v>
      </c>
      <c r="E203" s="10" t="s">
        <v>1413</v>
      </c>
      <c r="F203" s="10" t="s">
        <v>1442</v>
      </c>
      <c r="G203" s="10" t="s">
        <v>687</v>
      </c>
    </row>
    <row r="204" spans="1:7" ht="28.8" hidden="1" x14ac:dyDescent="0.3">
      <c r="A204" s="10">
        <v>203</v>
      </c>
      <c r="B204" s="10" t="s">
        <v>1437</v>
      </c>
      <c r="C204" s="10" t="s">
        <v>124</v>
      </c>
      <c r="D204" s="10" t="s">
        <v>1338</v>
      </c>
      <c r="E204" s="10" t="s">
        <v>1413</v>
      </c>
      <c r="F204" s="10" t="s">
        <v>1443</v>
      </c>
      <c r="G204" s="10" t="s">
        <v>688</v>
      </c>
    </row>
    <row r="205" spans="1:7" ht="28.8" hidden="1" x14ac:dyDescent="0.3">
      <c r="A205" s="10">
        <v>204</v>
      </c>
      <c r="B205" s="10" t="s">
        <v>1437</v>
      </c>
      <c r="C205" s="10" t="s">
        <v>689</v>
      </c>
      <c r="D205" s="10" t="s">
        <v>1444</v>
      </c>
      <c r="E205" s="10" t="s">
        <v>1413</v>
      </c>
      <c r="F205" s="10" t="s">
        <v>1445</v>
      </c>
      <c r="G205" s="10" t="s">
        <v>690</v>
      </c>
    </row>
    <row r="206" spans="1:7" ht="28.8" hidden="1" x14ac:dyDescent="0.3">
      <c r="A206" s="10">
        <v>205</v>
      </c>
      <c r="B206" s="10" t="s">
        <v>1437</v>
      </c>
      <c r="C206" s="10" t="s">
        <v>691</v>
      </c>
      <c r="D206" s="10" t="s">
        <v>1446</v>
      </c>
      <c r="E206" s="10" t="s">
        <v>1413</v>
      </c>
      <c r="F206" s="10" t="s">
        <v>1447</v>
      </c>
      <c r="G206" s="10" t="s">
        <v>692</v>
      </c>
    </row>
    <row r="207" spans="1:7" ht="28.8" hidden="1" x14ac:dyDescent="0.3">
      <c r="A207" s="10">
        <v>206</v>
      </c>
      <c r="B207" s="10" t="s">
        <v>1437</v>
      </c>
      <c r="C207" s="10" t="s">
        <v>693</v>
      </c>
      <c r="D207" s="10" t="s">
        <v>1448</v>
      </c>
      <c r="E207" s="10" t="s">
        <v>1413</v>
      </c>
      <c r="F207" s="10" t="s">
        <v>1449</v>
      </c>
      <c r="G207" s="10" t="s">
        <v>694</v>
      </c>
    </row>
    <row r="208" spans="1:7" ht="28.8" hidden="1" x14ac:dyDescent="0.3">
      <c r="A208" s="10">
        <v>207</v>
      </c>
      <c r="B208" s="10" t="s">
        <v>1437</v>
      </c>
      <c r="C208" s="10" t="s">
        <v>695</v>
      </c>
      <c r="D208" s="10" t="s">
        <v>1450</v>
      </c>
      <c r="E208" s="10" t="s">
        <v>1413</v>
      </c>
      <c r="F208" s="10" t="s">
        <v>1451</v>
      </c>
      <c r="G208" s="10" t="s">
        <v>696</v>
      </c>
    </row>
    <row r="209" spans="1:7" ht="28.8" hidden="1" x14ac:dyDescent="0.3">
      <c r="A209" s="10">
        <v>208</v>
      </c>
      <c r="B209" s="10" t="s">
        <v>1437</v>
      </c>
      <c r="C209" s="10" t="s">
        <v>697</v>
      </c>
      <c r="D209" s="10" t="s">
        <v>1452</v>
      </c>
      <c r="E209" s="10" t="s">
        <v>1413</v>
      </c>
      <c r="F209" s="10" t="s">
        <v>1453</v>
      </c>
      <c r="G209" s="10" t="s">
        <v>698</v>
      </c>
    </row>
    <row r="210" spans="1:7" ht="28.8" hidden="1" x14ac:dyDescent="0.3">
      <c r="A210" s="10">
        <v>209</v>
      </c>
      <c r="B210" s="10" t="s">
        <v>1437</v>
      </c>
      <c r="C210" s="10" t="s">
        <v>699</v>
      </c>
      <c r="D210" s="10" t="s">
        <v>1454</v>
      </c>
      <c r="E210" s="10" t="s">
        <v>1413</v>
      </c>
      <c r="F210" s="10" t="s">
        <v>1455</v>
      </c>
      <c r="G210" s="10" t="s">
        <v>700</v>
      </c>
    </row>
    <row r="211" spans="1:7" ht="28.8" hidden="1" x14ac:dyDescent="0.3">
      <c r="A211" s="10">
        <v>210</v>
      </c>
      <c r="B211" s="10" t="s">
        <v>1437</v>
      </c>
      <c r="C211" s="10" t="s">
        <v>213</v>
      </c>
      <c r="D211" s="10" t="s">
        <v>1152</v>
      </c>
      <c r="E211" s="10" t="s">
        <v>1413</v>
      </c>
      <c r="F211" s="10" t="s">
        <v>1456</v>
      </c>
      <c r="G211" s="10" t="s">
        <v>701</v>
      </c>
    </row>
    <row r="212" spans="1:7" ht="28.8" hidden="1" x14ac:dyDescent="0.3">
      <c r="A212" s="10">
        <v>211</v>
      </c>
      <c r="B212" s="10" t="s">
        <v>1437</v>
      </c>
      <c r="C212" s="10" t="s">
        <v>702</v>
      </c>
      <c r="D212" s="10" t="s">
        <v>1457</v>
      </c>
      <c r="E212" s="10" t="s">
        <v>1413</v>
      </c>
      <c r="F212" s="10" t="s">
        <v>1458</v>
      </c>
      <c r="G212" s="10" t="s">
        <v>703</v>
      </c>
    </row>
    <row r="213" spans="1:7" ht="28.8" hidden="1" x14ac:dyDescent="0.3">
      <c r="A213" s="10">
        <v>212</v>
      </c>
      <c r="B213" s="10" t="s">
        <v>1437</v>
      </c>
      <c r="C213" s="10" t="s">
        <v>704</v>
      </c>
      <c r="D213" s="10" t="s">
        <v>1459</v>
      </c>
      <c r="E213" s="10" t="s">
        <v>1413</v>
      </c>
      <c r="F213" s="10" t="s">
        <v>1460</v>
      </c>
      <c r="G213" s="10" t="s">
        <v>705</v>
      </c>
    </row>
    <row r="214" spans="1:7" ht="28.8" hidden="1" x14ac:dyDescent="0.3">
      <c r="A214" s="10">
        <v>213</v>
      </c>
      <c r="B214" s="10" t="s">
        <v>1437</v>
      </c>
      <c r="C214" s="10" t="s">
        <v>706</v>
      </c>
      <c r="D214" s="10" t="s">
        <v>1461</v>
      </c>
      <c r="E214" s="10" t="s">
        <v>1413</v>
      </c>
      <c r="F214" s="10" t="s">
        <v>1462</v>
      </c>
      <c r="G214" s="10" t="s">
        <v>707</v>
      </c>
    </row>
    <row r="215" spans="1:7" ht="28.8" hidden="1" x14ac:dyDescent="0.3">
      <c r="A215" s="10">
        <v>214</v>
      </c>
      <c r="B215" s="10" t="s">
        <v>1437</v>
      </c>
      <c r="C215" s="10" t="s">
        <v>708</v>
      </c>
      <c r="D215" s="10" t="s">
        <v>1463</v>
      </c>
      <c r="E215" s="10" t="s">
        <v>1332</v>
      </c>
      <c r="F215" s="10" t="s">
        <v>1464</v>
      </c>
      <c r="G215" s="10" t="s">
        <v>709</v>
      </c>
    </row>
    <row r="216" spans="1:7" ht="28.8" hidden="1" x14ac:dyDescent="0.3">
      <c r="A216" s="10">
        <v>215</v>
      </c>
      <c r="B216" s="10" t="s">
        <v>1437</v>
      </c>
      <c r="C216" s="10" t="s">
        <v>710</v>
      </c>
      <c r="D216" s="10" t="s">
        <v>1465</v>
      </c>
      <c r="E216" s="10" t="s">
        <v>1413</v>
      </c>
      <c r="F216" s="10" t="s">
        <v>1466</v>
      </c>
      <c r="G216" s="10" t="s">
        <v>711</v>
      </c>
    </row>
    <row r="217" spans="1:7" ht="28.8" hidden="1" x14ac:dyDescent="0.3">
      <c r="A217" s="10">
        <v>216</v>
      </c>
      <c r="B217" s="10" t="s">
        <v>1437</v>
      </c>
      <c r="C217" s="10" t="s">
        <v>712</v>
      </c>
      <c r="D217" s="10" t="s">
        <v>1467</v>
      </c>
      <c r="E217" s="10" t="s">
        <v>1413</v>
      </c>
      <c r="F217" s="10" t="s">
        <v>1468</v>
      </c>
      <c r="G217" s="10" t="s">
        <v>713</v>
      </c>
    </row>
    <row r="218" spans="1:7" ht="28.8" hidden="1" x14ac:dyDescent="0.3">
      <c r="A218" s="10">
        <v>217</v>
      </c>
      <c r="B218" s="10" t="s">
        <v>1437</v>
      </c>
      <c r="C218" s="10" t="s">
        <v>714</v>
      </c>
      <c r="D218" s="10" t="s">
        <v>1469</v>
      </c>
      <c r="E218" s="10" t="s">
        <v>1413</v>
      </c>
      <c r="F218" s="10" t="s">
        <v>1470</v>
      </c>
      <c r="G218" s="10" t="s">
        <v>715</v>
      </c>
    </row>
    <row r="219" spans="1:7" ht="28.8" hidden="1" x14ac:dyDescent="0.3">
      <c r="A219" s="10">
        <v>218</v>
      </c>
      <c r="B219" s="10" t="s">
        <v>1437</v>
      </c>
      <c r="C219" s="10" t="s">
        <v>316</v>
      </c>
      <c r="D219" s="10" t="s">
        <v>1349</v>
      </c>
      <c r="E219" s="10" t="s">
        <v>1413</v>
      </c>
      <c r="F219" s="10" t="s">
        <v>1471</v>
      </c>
      <c r="G219" s="10" t="s">
        <v>716</v>
      </c>
    </row>
    <row r="220" spans="1:7" ht="28.8" hidden="1" x14ac:dyDescent="0.3">
      <c r="A220" s="10">
        <v>219</v>
      </c>
      <c r="B220" s="10" t="s">
        <v>1437</v>
      </c>
      <c r="C220" s="10" t="s">
        <v>717</v>
      </c>
      <c r="D220" s="10" t="s">
        <v>1472</v>
      </c>
      <c r="E220" s="10" t="s">
        <v>1413</v>
      </c>
      <c r="F220" s="10" t="s">
        <v>1473</v>
      </c>
      <c r="G220" s="10" t="s">
        <v>718</v>
      </c>
    </row>
    <row r="221" spans="1:7" ht="28.8" hidden="1" x14ac:dyDescent="0.3">
      <c r="A221" s="10">
        <v>220</v>
      </c>
      <c r="B221" s="10" t="s">
        <v>1437</v>
      </c>
      <c r="C221" s="10" t="s">
        <v>717</v>
      </c>
      <c r="D221" s="10" t="s">
        <v>1474</v>
      </c>
      <c r="E221" s="10" t="s">
        <v>1472</v>
      </c>
      <c r="F221" s="10" t="s">
        <v>1473</v>
      </c>
      <c r="G221" s="10" t="s">
        <v>718</v>
      </c>
    </row>
    <row r="222" spans="1:7" ht="28.8" hidden="1" x14ac:dyDescent="0.3">
      <c r="A222" s="10">
        <v>221</v>
      </c>
      <c r="B222" s="10" t="s">
        <v>1437</v>
      </c>
      <c r="C222" s="10" t="s">
        <v>717</v>
      </c>
      <c r="D222" s="10" t="s">
        <v>1475</v>
      </c>
      <c r="E222" s="10" t="s">
        <v>1472</v>
      </c>
      <c r="F222" s="10" t="s">
        <v>1473</v>
      </c>
      <c r="G222" s="10" t="s">
        <v>718</v>
      </c>
    </row>
    <row r="223" spans="1:7" ht="28.8" hidden="1" x14ac:dyDescent="0.3">
      <c r="A223" s="10">
        <v>222</v>
      </c>
      <c r="B223" s="10" t="s">
        <v>1437</v>
      </c>
      <c r="C223" s="10" t="s">
        <v>719</v>
      </c>
      <c r="D223" s="10" t="s">
        <v>1476</v>
      </c>
      <c r="E223" s="10" t="s">
        <v>1413</v>
      </c>
      <c r="F223" s="10" t="s">
        <v>1477</v>
      </c>
      <c r="G223" s="10" t="s">
        <v>720</v>
      </c>
    </row>
    <row r="224" spans="1:7" ht="28.8" hidden="1" x14ac:dyDescent="0.3">
      <c r="A224" s="10">
        <v>223</v>
      </c>
      <c r="B224" s="10" t="s">
        <v>1437</v>
      </c>
      <c r="C224" s="10" t="s">
        <v>721</v>
      </c>
      <c r="D224" s="10" t="s">
        <v>1478</v>
      </c>
      <c r="E224" s="10" t="s">
        <v>1413</v>
      </c>
      <c r="F224" s="10" t="s">
        <v>1479</v>
      </c>
      <c r="G224" s="10" t="s">
        <v>722</v>
      </c>
    </row>
    <row r="225" spans="1:7" ht="28.8" hidden="1" x14ac:dyDescent="0.3">
      <c r="A225" s="10">
        <v>224</v>
      </c>
      <c r="B225" s="10" t="s">
        <v>1437</v>
      </c>
      <c r="C225" s="10" t="s">
        <v>723</v>
      </c>
      <c r="D225" s="10" t="s">
        <v>1480</v>
      </c>
      <c r="E225" s="10" t="s">
        <v>1413</v>
      </c>
      <c r="F225" s="10" t="s">
        <v>1481</v>
      </c>
      <c r="G225" s="10" t="s">
        <v>724</v>
      </c>
    </row>
    <row r="226" spans="1:7" ht="28.8" hidden="1" x14ac:dyDescent="0.3">
      <c r="A226" s="10">
        <v>225</v>
      </c>
      <c r="B226" s="10" t="s">
        <v>1437</v>
      </c>
      <c r="C226" s="10" t="s">
        <v>725</v>
      </c>
      <c r="D226" s="10" t="s">
        <v>1482</v>
      </c>
      <c r="E226" s="10" t="s">
        <v>1413</v>
      </c>
      <c r="F226" s="10" t="s">
        <v>1483</v>
      </c>
      <c r="G226" s="10" t="s">
        <v>726</v>
      </c>
    </row>
    <row r="227" spans="1:7" ht="28.8" hidden="1" x14ac:dyDescent="0.3">
      <c r="A227" s="10">
        <v>226</v>
      </c>
      <c r="B227" s="10" t="s">
        <v>1437</v>
      </c>
      <c r="C227" s="10" t="s">
        <v>727</v>
      </c>
      <c r="D227" s="10" t="s">
        <v>1484</v>
      </c>
      <c r="E227" s="10" t="s">
        <v>1413</v>
      </c>
      <c r="F227" s="10" t="s">
        <v>1485</v>
      </c>
      <c r="G227" s="10" t="s">
        <v>728</v>
      </c>
    </row>
    <row r="228" spans="1:7" ht="28.8" hidden="1" x14ac:dyDescent="0.3">
      <c r="A228" s="10">
        <v>227</v>
      </c>
      <c r="B228" s="10" t="s">
        <v>1437</v>
      </c>
      <c r="C228" s="10" t="s">
        <v>729</v>
      </c>
      <c r="D228" s="10" t="s">
        <v>1486</v>
      </c>
      <c r="E228" s="10" t="s">
        <v>1413</v>
      </c>
      <c r="F228" s="10" t="s">
        <v>1487</v>
      </c>
      <c r="G228" s="10" t="s">
        <v>730</v>
      </c>
    </row>
    <row r="229" spans="1:7" ht="28.8" hidden="1" x14ac:dyDescent="0.3">
      <c r="A229" s="10">
        <v>228</v>
      </c>
      <c r="B229" s="10" t="s">
        <v>1437</v>
      </c>
      <c r="C229" s="10" t="s">
        <v>731</v>
      </c>
      <c r="D229" s="10" t="s">
        <v>1488</v>
      </c>
      <c r="E229" s="10" t="s">
        <v>1413</v>
      </c>
      <c r="F229" s="10" t="s">
        <v>1489</v>
      </c>
      <c r="G229" s="10" t="s">
        <v>732</v>
      </c>
    </row>
    <row r="230" spans="1:7" ht="28.8" hidden="1" x14ac:dyDescent="0.3">
      <c r="A230" s="10">
        <v>229</v>
      </c>
      <c r="B230" s="10" t="s">
        <v>1437</v>
      </c>
      <c r="C230" s="10" t="s">
        <v>733</v>
      </c>
      <c r="D230" s="10" t="s">
        <v>1490</v>
      </c>
      <c r="E230" s="10" t="s">
        <v>1413</v>
      </c>
      <c r="F230" s="10" t="s">
        <v>1491</v>
      </c>
      <c r="G230" s="10" t="s">
        <v>734</v>
      </c>
    </row>
    <row r="231" spans="1:7" ht="28.8" hidden="1" x14ac:dyDescent="0.3">
      <c r="A231" s="10">
        <v>230</v>
      </c>
      <c r="B231" s="10" t="s">
        <v>1437</v>
      </c>
      <c r="C231" s="10" t="s">
        <v>735</v>
      </c>
      <c r="D231" s="10" t="s">
        <v>1492</v>
      </c>
      <c r="E231" s="10" t="s">
        <v>1413</v>
      </c>
      <c r="F231" s="10" t="s">
        <v>1493</v>
      </c>
      <c r="G231" s="10" t="s">
        <v>736</v>
      </c>
    </row>
    <row r="232" spans="1:7" ht="28.8" hidden="1" x14ac:dyDescent="0.3">
      <c r="A232" s="10">
        <v>231</v>
      </c>
      <c r="B232" s="10" t="s">
        <v>1437</v>
      </c>
      <c r="C232" s="10" t="s">
        <v>737</v>
      </c>
      <c r="D232" s="10" t="s">
        <v>1494</v>
      </c>
      <c r="E232" s="10" t="s">
        <v>1413</v>
      </c>
      <c r="F232" s="10" t="s">
        <v>1495</v>
      </c>
      <c r="G232" s="10" t="s">
        <v>738</v>
      </c>
    </row>
    <row r="233" spans="1:7" ht="28.8" hidden="1" x14ac:dyDescent="0.3">
      <c r="A233" s="10">
        <v>232</v>
      </c>
      <c r="B233" s="10" t="s">
        <v>1437</v>
      </c>
      <c r="C233" s="10" t="s">
        <v>739</v>
      </c>
      <c r="D233" s="10" t="s">
        <v>1496</v>
      </c>
      <c r="E233" s="10" t="s">
        <v>1413</v>
      </c>
      <c r="F233" s="10" t="s">
        <v>1497</v>
      </c>
      <c r="G233" s="10" t="s">
        <v>740</v>
      </c>
    </row>
    <row r="234" spans="1:7" ht="28.8" hidden="1" x14ac:dyDescent="0.3">
      <c r="A234" s="10">
        <v>233</v>
      </c>
      <c r="B234" s="10" t="s">
        <v>1437</v>
      </c>
      <c r="C234" s="10" t="s">
        <v>741</v>
      </c>
      <c r="D234" s="10" t="s">
        <v>1498</v>
      </c>
      <c r="E234" s="10" t="s">
        <v>1413</v>
      </c>
      <c r="F234" s="10" t="s">
        <v>1499</v>
      </c>
      <c r="G234" s="10" t="s">
        <v>742</v>
      </c>
    </row>
    <row r="235" spans="1:7" ht="28.8" hidden="1" x14ac:dyDescent="0.3">
      <c r="A235" s="10">
        <v>234</v>
      </c>
      <c r="B235" s="10" t="s">
        <v>1437</v>
      </c>
      <c r="C235" s="10" t="s">
        <v>743</v>
      </c>
      <c r="D235" s="10" t="s">
        <v>1500</v>
      </c>
      <c r="E235" s="10" t="s">
        <v>1332</v>
      </c>
      <c r="F235" s="10" t="s">
        <v>1501</v>
      </c>
      <c r="G235" s="10" t="s">
        <v>744</v>
      </c>
    </row>
    <row r="236" spans="1:7" ht="28.8" hidden="1" x14ac:dyDescent="0.3">
      <c r="A236" s="10">
        <v>235</v>
      </c>
      <c r="B236" s="10" t="s">
        <v>1437</v>
      </c>
      <c r="C236" s="10" t="s">
        <v>745</v>
      </c>
      <c r="D236" s="10" t="s">
        <v>1502</v>
      </c>
      <c r="E236" s="10" t="s">
        <v>1413</v>
      </c>
      <c r="F236" s="10" t="s">
        <v>1503</v>
      </c>
      <c r="G236" s="10" t="s">
        <v>746</v>
      </c>
    </row>
    <row r="237" spans="1:7" ht="28.8" hidden="1" x14ac:dyDescent="0.3">
      <c r="A237" s="10">
        <v>236</v>
      </c>
      <c r="B237" s="10" t="s">
        <v>1437</v>
      </c>
      <c r="C237" s="10" t="s">
        <v>747</v>
      </c>
      <c r="D237" s="10" t="s">
        <v>1504</v>
      </c>
      <c r="E237" s="10" t="s">
        <v>1413</v>
      </c>
      <c r="F237" s="10" t="s">
        <v>1505</v>
      </c>
      <c r="G237" s="10" t="s">
        <v>748</v>
      </c>
    </row>
    <row r="238" spans="1:7" ht="28.8" hidden="1" x14ac:dyDescent="0.3">
      <c r="A238" s="10">
        <v>237</v>
      </c>
      <c r="B238" s="10" t="s">
        <v>1506</v>
      </c>
      <c r="C238" s="10" t="s">
        <v>439</v>
      </c>
      <c r="D238" s="10" t="s">
        <v>1507</v>
      </c>
      <c r="F238" s="10" t="s">
        <v>1508</v>
      </c>
      <c r="G238" s="10" t="s">
        <v>759</v>
      </c>
    </row>
    <row r="239" spans="1:7" ht="28.8" hidden="1" x14ac:dyDescent="0.3">
      <c r="A239" s="10">
        <v>238</v>
      </c>
      <c r="B239" s="10" t="s">
        <v>1506</v>
      </c>
      <c r="C239" s="10" t="s">
        <v>760</v>
      </c>
      <c r="D239" s="10" t="s">
        <v>1509</v>
      </c>
      <c r="F239" s="10" t="s">
        <v>1510</v>
      </c>
      <c r="G239" s="10" t="s">
        <v>761</v>
      </c>
    </row>
    <row r="240" spans="1:7" ht="28.8" hidden="1" x14ac:dyDescent="0.3">
      <c r="A240" s="10">
        <v>239</v>
      </c>
      <c r="B240" s="10" t="s">
        <v>1506</v>
      </c>
      <c r="C240" s="10" t="s">
        <v>760</v>
      </c>
      <c r="D240" s="10" t="s">
        <v>1509</v>
      </c>
      <c r="F240" s="10" t="s">
        <v>1510</v>
      </c>
      <c r="G240" s="10" t="s">
        <v>761</v>
      </c>
    </row>
    <row r="241" spans="1:7" ht="28.8" hidden="1" x14ac:dyDescent="0.3">
      <c r="A241" s="10">
        <v>240</v>
      </c>
      <c r="B241" s="10" t="s">
        <v>1506</v>
      </c>
      <c r="C241" s="10" t="s">
        <v>762</v>
      </c>
      <c r="F241" s="10" t="s">
        <v>1511</v>
      </c>
      <c r="G241" s="10" t="s">
        <v>763</v>
      </c>
    </row>
    <row r="242" spans="1:7" ht="28.8" hidden="1" x14ac:dyDescent="0.3">
      <c r="A242" s="10">
        <v>241</v>
      </c>
      <c r="B242" s="10" t="s">
        <v>1512</v>
      </c>
      <c r="C242" s="10" t="s">
        <v>765</v>
      </c>
      <c r="F242" s="10" t="s">
        <v>1513</v>
      </c>
      <c r="G242" s="10" t="s">
        <v>766</v>
      </c>
    </row>
    <row r="243" spans="1:7" ht="28.8" hidden="1" x14ac:dyDescent="0.3">
      <c r="A243" s="10">
        <v>242</v>
      </c>
      <c r="B243" s="10" t="s">
        <v>1514</v>
      </c>
      <c r="C243" s="10" t="s">
        <v>438</v>
      </c>
      <c r="D243" s="10" t="s">
        <v>1515</v>
      </c>
      <c r="F243" s="10" t="s">
        <v>1516</v>
      </c>
      <c r="G243" s="10" t="s">
        <v>771</v>
      </c>
    </row>
    <row r="244" spans="1:7" ht="28.8" hidden="1" x14ac:dyDescent="0.3">
      <c r="A244" s="10">
        <v>243</v>
      </c>
      <c r="B244" s="10" t="s">
        <v>1514</v>
      </c>
      <c r="C244" s="10" t="s">
        <v>1517</v>
      </c>
      <c r="D244" s="10" t="s">
        <v>1518</v>
      </c>
      <c r="F244" s="10" t="s">
        <v>1519</v>
      </c>
      <c r="G244" s="10" t="s">
        <v>1520</v>
      </c>
    </row>
    <row r="245" spans="1:7" ht="28.8" hidden="1" x14ac:dyDescent="0.3">
      <c r="A245" s="10">
        <v>244</v>
      </c>
      <c r="B245" s="10" t="s">
        <v>1514</v>
      </c>
      <c r="C245" s="10" t="s">
        <v>442</v>
      </c>
      <c r="D245" s="10" t="s">
        <v>1521</v>
      </c>
      <c r="F245" s="10" t="s">
        <v>1522</v>
      </c>
      <c r="G245" s="10" t="s">
        <v>773</v>
      </c>
    </row>
    <row r="246" spans="1:7" ht="28.8" hidden="1" x14ac:dyDescent="0.3">
      <c r="A246" s="10">
        <v>245</v>
      </c>
      <c r="B246" s="10" t="s">
        <v>1514</v>
      </c>
      <c r="C246" s="10" t="s">
        <v>443</v>
      </c>
      <c r="D246" s="10" t="s">
        <v>1523</v>
      </c>
      <c r="E246" s="10" t="s">
        <v>1058</v>
      </c>
      <c r="F246" s="10" t="s">
        <v>1524</v>
      </c>
      <c r="G246" s="10" t="s">
        <v>774</v>
      </c>
    </row>
    <row r="247" spans="1:7" ht="28.8" hidden="1" x14ac:dyDescent="0.3">
      <c r="A247" s="10">
        <v>246</v>
      </c>
      <c r="B247" s="10" t="s">
        <v>1514</v>
      </c>
      <c r="C247" s="10" t="s">
        <v>184</v>
      </c>
      <c r="D247" s="10" t="s">
        <v>1525</v>
      </c>
      <c r="E247" s="10" t="s">
        <v>1062</v>
      </c>
      <c r="F247" s="10" t="s">
        <v>1526</v>
      </c>
      <c r="G247" s="10" t="s">
        <v>775</v>
      </c>
    </row>
    <row r="248" spans="1:7" ht="28.8" hidden="1" x14ac:dyDescent="0.3">
      <c r="A248" s="10">
        <v>247</v>
      </c>
      <c r="B248" s="10" t="s">
        <v>1527</v>
      </c>
      <c r="C248" s="10" t="s">
        <v>777</v>
      </c>
      <c r="F248" s="10" t="s">
        <v>1528</v>
      </c>
      <c r="G248" s="10" t="s">
        <v>778</v>
      </c>
    </row>
    <row r="249" spans="1:7" ht="28.8" hidden="1" x14ac:dyDescent="0.3">
      <c r="A249" s="10">
        <v>248</v>
      </c>
      <c r="B249" s="10" t="s">
        <v>1527</v>
      </c>
      <c r="C249" s="10" t="s">
        <v>779</v>
      </c>
      <c r="F249" s="10" t="s">
        <v>1529</v>
      </c>
      <c r="G249" s="10" t="s">
        <v>780</v>
      </c>
    </row>
    <row r="250" spans="1:7" ht="28.8" hidden="1" x14ac:dyDescent="0.3">
      <c r="A250" s="10">
        <v>249</v>
      </c>
      <c r="B250" s="10" t="s">
        <v>1527</v>
      </c>
      <c r="C250" s="10" t="s">
        <v>781</v>
      </c>
      <c r="F250" s="10" t="s">
        <v>1530</v>
      </c>
      <c r="G250" s="10" t="s">
        <v>782</v>
      </c>
    </row>
    <row r="251" spans="1:7" ht="28.8" hidden="1" x14ac:dyDescent="0.3">
      <c r="A251" s="10">
        <v>250</v>
      </c>
      <c r="B251" s="10" t="s">
        <v>1527</v>
      </c>
      <c r="C251" s="10" t="s">
        <v>783</v>
      </c>
      <c r="F251" s="10" t="s">
        <v>1531</v>
      </c>
      <c r="G251" s="10" t="s">
        <v>784</v>
      </c>
    </row>
    <row r="252" spans="1:7" ht="28.8" hidden="1" x14ac:dyDescent="0.3">
      <c r="A252" s="10">
        <v>251</v>
      </c>
      <c r="B252" s="10" t="s">
        <v>1527</v>
      </c>
      <c r="C252" s="10" t="s">
        <v>785</v>
      </c>
      <c r="F252" s="10" t="s">
        <v>1532</v>
      </c>
      <c r="G252" s="10" t="s">
        <v>786</v>
      </c>
    </row>
    <row r="253" spans="1:7" ht="28.8" hidden="1" x14ac:dyDescent="0.3">
      <c r="A253" s="10">
        <v>252</v>
      </c>
      <c r="B253" s="10" t="s">
        <v>1533</v>
      </c>
      <c r="C253" s="10" t="s">
        <v>788</v>
      </c>
      <c r="F253" s="10" t="s">
        <v>1534</v>
      </c>
      <c r="G253" s="10" t="s">
        <v>789</v>
      </c>
    </row>
    <row r="254" spans="1:7" ht="28.8" hidden="1" x14ac:dyDescent="0.3">
      <c r="A254" s="10">
        <v>253</v>
      </c>
      <c r="B254" s="10" t="s">
        <v>1533</v>
      </c>
      <c r="C254" s="10" t="s">
        <v>790</v>
      </c>
      <c r="F254" s="10" t="s">
        <v>1535</v>
      </c>
      <c r="G254" s="10" t="s">
        <v>791</v>
      </c>
    </row>
    <row r="255" spans="1:7" ht="28.8" hidden="1" x14ac:dyDescent="0.3">
      <c r="A255" s="10">
        <v>254</v>
      </c>
      <c r="B255" s="10" t="s">
        <v>1536</v>
      </c>
      <c r="C255" s="10" t="s">
        <v>793</v>
      </c>
      <c r="D255" s="10" t="s">
        <v>1537</v>
      </c>
      <c r="E255" s="10" t="s">
        <v>1538</v>
      </c>
      <c r="F255" s="10" t="s">
        <v>1539</v>
      </c>
      <c r="G255" s="10" t="s">
        <v>794</v>
      </c>
    </row>
    <row r="256" spans="1:7" ht="28.8" hidden="1" x14ac:dyDescent="0.3">
      <c r="A256" s="10">
        <v>255</v>
      </c>
      <c r="B256" s="10" t="s">
        <v>1536</v>
      </c>
      <c r="C256" s="10" t="s">
        <v>795</v>
      </c>
      <c r="D256" s="10" t="s">
        <v>1540</v>
      </c>
      <c r="F256" s="10" t="s">
        <v>1541</v>
      </c>
      <c r="G256" s="10" t="s">
        <v>796</v>
      </c>
    </row>
    <row r="257" spans="1:7" ht="28.8" hidden="1" x14ac:dyDescent="0.3">
      <c r="A257" s="10">
        <v>256</v>
      </c>
      <c r="B257" s="10" t="s">
        <v>1536</v>
      </c>
      <c r="C257" s="10" t="s">
        <v>797</v>
      </c>
      <c r="D257" s="10" t="s">
        <v>1538</v>
      </c>
      <c r="E257" s="10" t="s">
        <v>1058</v>
      </c>
      <c r="F257" s="10" t="s">
        <v>1542</v>
      </c>
      <c r="G257" s="10" t="s">
        <v>798</v>
      </c>
    </row>
    <row r="258" spans="1:7" ht="28.8" hidden="1" x14ac:dyDescent="0.3">
      <c r="A258" s="10">
        <v>257</v>
      </c>
      <c r="B258" s="10" t="s">
        <v>1536</v>
      </c>
      <c r="C258" s="10" t="s">
        <v>1056</v>
      </c>
      <c r="D258" s="10" t="s">
        <v>1543</v>
      </c>
      <c r="E258" s="10" t="s">
        <v>1058</v>
      </c>
      <c r="F258" s="10" t="s">
        <v>1544</v>
      </c>
      <c r="G258" s="10" t="s">
        <v>1545</v>
      </c>
    </row>
    <row r="259" spans="1:7" ht="28.8" hidden="1" x14ac:dyDescent="0.3">
      <c r="A259" s="10">
        <v>258</v>
      </c>
      <c r="B259" s="10" t="s">
        <v>1536</v>
      </c>
      <c r="C259" s="10" t="s">
        <v>444</v>
      </c>
      <c r="D259" s="10" t="s">
        <v>1546</v>
      </c>
      <c r="E259" s="10" t="s">
        <v>1058</v>
      </c>
      <c r="F259" s="10" t="s">
        <v>1547</v>
      </c>
      <c r="G259" s="10" t="s">
        <v>799</v>
      </c>
    </row>
    <row r="260" spans="1:7" ht="28.8" hidden="1" x14ac:dyDescent="0.3">
      <c r="A260" s="10">
        <v>259</v>
      </c>
      <c r="B260" s="10" t="s">
        <v>1536</v>
      </c>
      <c r="C260" s="10" t="s">
        <v>444</v>
      </c>
      <c r="D260" s="10" t="s">
        <v>1548</v>
      </c>
      <c r="E260" s="10" t="s">
        <v>1546</v>
      </c>
      <c r="F260" s="10" t="s">
        <v>1547</v>
      </c>
      <c r="G260" s="10" t="s">
        <v>799</v>
      </c>
    </row>
    <row r="261" spans="1:7" ht="28.8" hidden="1" x14ac:dyDescent="0.3">
      <c r="A261" s="10">
        <v>260</v>
      </c>
      <c r="B261" s="10" t="s">
        <v>1536</v>
      </c>
      <c r="C261" s="10" t="s">
        <v>444</v>
      </c>
      <c r="D261" s="10" t="s">
        <v>1549</v>
      </c>
      <c r="E261" s="10" t="s">
        <v>1095</v>
      </c>
      <c r="F261" s="10" t="s">
        <v>1547</v>
      </c>
      <c r="G261" s="10" t="s">
        <v>799</v>
      </c>
    </row>
    <row r="262" spans="1:7" ht="28.8" hidden="1" x14ac:dyDescent="0.3">
      <c r="A262" s="10">
        <v>261</v>
      </c>
      <c r="B262" s="10" t="s">
        <v>1536</v>
      </c>
      <c r="C262" s="10" t="s">
        <v>444</v>
      </c>
      <c r="D262" s="10" t="s">
        <v>1550</v>
      </c>
      <c r="E262" s="10" t="s">
        <v>1095</v>
      </c>
      <c r="F262" s="10" t="s">
        <v>1547</v>
      </c>
      <c r="G262" s="10" t="s">
        <v>799</v>
      </c>
    </row>
    <row r="263" spans="1:7" ht="28.8" hidden="1" x14ac:dyDescent="0.3">
      <c r="A263" s="10">
        <v>262</v>
      </c>
      <c r="B263" s="10" t="s">
        <v>1536</v>
      </c>
      <c r="C263" s="10" t="s">
        <v>444</v>
      </c>
      <c r="D263" s="10" t="s">
        <v>1551</v>
      </c>
      <c r="E263" s="10" t="s">
        <v>1546</v>
      </c>
      <c r="F263" s="10" t="s">
        <v>1547</v>
      </c>
      <c r="G263" s="10" t="s">
        <v>799</v>
      </c>
    </row>
    <row r="264" spans="1:7" ht="28.8" hidden="1" x14ac:dyDescent="0.3">
      <c r="A264" s="10">
        <v>263</v>
      </c>
      <c r="B264" s="10" t="s">
        <v>1536</v>
      </c>
      <c r="C264" s="10" t="s">
        <v>444</v>
      </c>
      <c r="D264" s="10" t="s">
        <v>1552</v>
      </c>
      <c r="E264" s="10" t="s">
        <v>1095</v>
      </c>
      <c r="F264" s="10" t="s">
        <v>1547</v>
      </c>
      <c r="G264" s="10" t="s">
        <v>799</v>
      </c>
    </row>
    <row r="265" spans="1:7" ht="28.8" hidden="1" x14ac:dyDescent="0.3">
      <c r="A265" s="10">
        <v>264</v>
      </c>
      <c r="B265" s="10" t="s">
        <v>1536</v>
      </c>
      <c r="C265" s="10" t="s">
        <v>444</v>
      </c>
      <c r="D265" s="10" t="s">
        <v>1553</v>
      </c>
      <c r="E265" s="10" t="s">
        <v>1095</v>
      </c>
      <c r="F265" s="10" t="s">
        <v>1547</v>
      </c>
      <c r="G265" s="10" t="s">
        <v>799</v>
      </c>
    </row>
    <row r="266" spans="1:7" ht="28.8" hidden="1" x14ac:dyDescent="0.3">
      <c r="A266" s="10">
        <v>265</v>
      </c>
      <c r="B266" s="10" t="s">
        <v>1536</v>
      </c>
      <c r="C266" s="10" t="s">
        <v>444</v>
      </c>
      <c r="D266" s="10" t="s">
        <v>1554</v>
      </c>
      <c r="E266" s="10" t="s">
        <v>1546</v>
      </c>
      <c r="F266" s="10" t="s">
        <v>1547</v>
      </c>
      <c r="G266" s="10" t="s">
        <v>799</v>
      </c>
    </row>
    <row r="267" spans="1:7" ht="28.8" hidden="1" x14ac:dyDescent="0.3">
      <c r="A267" s="10">
        <v>266</v>
      </c>
      <c r="B267" s="10" t="s">
        <v>1536</v>
      </c>
      <c r="C267" s="10" t="s">
        <v>444</v>
      </c>
      <c r="D267" s="10" t="s">
        <v>1555</v>
      </c>
      <c r="E267" s="10" t="s">
        <v>1095</v>
      </c>
      <c r="F267" s="10" t="s">
        <v>1547</v>
      </c>
      <c r="G267" s="10" t="s">
        <v>799</v>
      </c>
    </row>
    <row r="268" spans="1:7" ht="28.8" hidden="1" x14ac:dyDescent="0.3">
      <c r="A268" s="10">
        <v>267</v>
      </c>
      <c r="B268" s="10" t="s">
        <v>1536</v>
      </c>
      <c r="C268" s="10" t="s">
        <v>444</v>
      </c>
      <c r="D268" s="10" t="s">
        <v>1556</v>
      </c>
      <c r="E268" s="10" t="s">
        <v>1095</v>
      </c>
      <c r="F268" s="10" t="s">
        <v>1547</v>
      </c>
      <c r="G268" s="10" t="s">
        <v>799</v>
      </c>
    </row>
    <row r="269" spans="1:7" ht="28.8" hidden="1" x14ac:dyDescent="0.3">
      <c r="A269" s="10">
        <v>268</v>
      </c>
      <c r="B269" s="10" t="s">
        <v>1557</v>
      </c>
      <c r="C269" s="10" t="s">
        <v>801</v>
      </c>
      <c r="D269" s="10" t="s">
        <v>1558</v>
      </c>
      <c r="E269" s="10" t="s">
        <v>1559</v>
      </c>
      <c r="F269" s="10" t="s">
        <v>1560</v>
      </c>
      <c r="G269" s="10" t="s">
        <v>802</v>
      </c>
    </row>
    <row r="270" spans="1:7" ht="28.8" hidden="1" x14ac:dyDescent="0.3">
      <c r="A270" s="10">
        <v>269</v>
      </c>
      <c r="B270" s="10" t="s">
        <v>1557</v>
      </c>
      <c r="C270" s="10" t="s">
        <v>803</v>
      </c>
      <c r="D270" s="10" t="s">
        <v>1559</v>
      </c>
      <c r="F270" s="10" t="s">
        <v>1561</v>
      </c>
      <c r="G270" s="10" t="s">
        <v>804</v>
      </c>
    </row>
    <row r="271" spans="1:7" ht="28.8" hidden="1" x14ac:dyDescent="0.3">
      <c r="A271" s="10">
        <v>270</v>
      </c>
      <c r="B271" s="10" t="s">
        <v>1557</v>
      </c>
      <c r="C271" s="10" t="s">
        <v>1562</v>
      </c>
      <c r="D271" s="10" t="s">
        <v>1563</v>
      </c>
      <c r="E271" s="10" t="s">
        <v>1559</v>
      </c>
      <c r="F271" s="10" t="s">
        <v>1564</v>
      </c>
      <c r="G271" s="10" t="s">
        <v>1565</v>
      </c>
    </row>
    <row r="272" spans="1:7" ht="28.8" hidden="1" x14ac:dyDescent="0.3">
      <c r="A272" s="10">
        <v>271</v>
      </c>
      <c r="B272" s="10" t="s">
        <v>1557</v>
      </c>
      <c r="C272" s="10" t="s">
        <v>805</v>
      </c>
      <c r="D272" s="10" t="s">
        <v>1566</v>
      </c>
      <c r="E272" s="10" t="s">
        <v>1559</v>
      </c>
      <c r="F272" s="10" t="s">
        <v>1567</v>
      </c>
      <c r="G272" s="10" t="s">
        <v>806</v>
      </c>
    </row>
    <row r="273" spans="1:7" ht="28.8" hidden="1" x14ac:dyDescent="0.3">
      <c r="A273" s="10">
        <v>272</v>
      </c>
      <c r="B273" s="10" t="s">
        <v>1557</v>
      </c>
      <c r="C273" s="10" t="s">
        <v>807</v>
      </c>
      <c r="D273" s="10" t="s">
        <v>1568</v>
      </c>
      <c r="F273" s="10" t="s">
        <v>1569</v>
      </c>
      <c r="G273" s="10" t="s">
        <v>808</v>
      </c>
    </row>
    <row r="274" spans="1:7" ht="28.8" hidden="1" x14ac:dyDescent="0.3">
      <c r="A274" s="10">
        <v>273</v>
      </c>
      <c r="B274" s="10" t="s">
        <v>1570</v>
      </c>
      <c r="C274" s="10" t="s">
        <v>438</v>
      </c>
      <c r="F274" s="10" t="s">
        <v>1571</v>
      </c>
      <c r="G274" s="10" t="s">
        <v>1572</v>
      </c>
    </row>
    <row r="275" spans="1:7" ht="28.8" hidden="1" x14ac:dyDescent="0.3">
      <c r="A275" s="10">
        <v>274</v>
      </c>
      <c r="B275" s="10" t="s">
        <v>1570</v>
      </c>
      <c r="C275" s="10" t="s">
        <v>1573</v>
      </c>
      <c r="D275" s="10" t="s">
        <v>1574</v>
      </c>
      <c r="F275" s="10" t="s">
        <v>1575</v>
      </c>
      <c r="G275" s="10" t="s">
        <v>1576</v>
      </c>
    </row>
    <row r="276" spans="1:7" ht="28.8" hidden="1" x14ac:dyDescent="0.3">
      <c r="A276" s="10">
        <v>275</v>
      </c>
      <c r="B276" s="10" t="s">
        <v>1570</v>
      </c>
      <c r="C276" s="10" t="s">
        <v>1577</v>
      </c>
      <c r="D276" s="10" t="s">
        <v>1578</v>
      </c>
      <c r="F276" s="10" t="s">
        <v>1579</v>
      </c>
      <c r="G276" s="10" t="s">
        <v>1580</v>
      </c>
    </row>
    <row r="277" spans="1:7" ht="28.8" hidden="1" x14ac:dyDescent="0.3">
      <c r="A277" s="10">
        <v>276</v>
      </c>
      <c r="B277" s="10" t="s">
        <v>1570</v>
      </c>
      <c r="C277" s="10" t="s">
        <v>754</v>
      </c>
      <c r="F277" s="10" t="s">
        <v>1581</v>
      </c>
      <c r="G277" s="10" t="s">
        <v>1582</v>
      </c>
    </row>
    <row r="278" spans="1:7" ht="28.8" hidden="1" x14ac:dyDescent="0.3">
      <c r="A278" s="10">
        <v>277</v>
      </c>
      <c r="B278" s="10" t="s">
        <v>1570</v>
      </c>
      <c r="C278" s="10" t="s">
        <v>756</v>
      </c>
      <c r="D278" s="10" t="s">
        <v>1583</v>
      </c>
      <c r="F278" s="10" t="s">
        <v>1584</v>
      </c>
      <c r="G278" s="10" t="s">
        <v>1585</v>
      </c>
    </row>
    <row r="279" spans="1:7" ht="28.8" hidden="1" x14ac:dyDescent="0.3">
      <c r="A279" s="10">
        <v>278</v>
      </c>
      <c r="B279" s="10" t="s">
        <v>1586</v>
      </c>
      <c r="C279" s="10" t="s">
        <v>185</v>
      </c>
      <c r="F279" s="10" t="s">
        <v>1587</v>
      </c>
      <c r="G279" s="10" t="s">
        <v>1588</v>
      </c>
    </row>
    <row r="280" spans="1:7" ht="28.8" hidden="1" x14ac:dyDescent="0.3">
      <c r="A280" s="10">
        <v>279</v>
      </c>
      <c r="B280" s="10" t="s">
        <v>1589</v>
      </c>
      <c r="C280" s="10" t="s">
        <v>750</v>
      </c>
      <c r="F280" s="10" t="s">
        <v>1590</v>
      </c>
      <c r="G280" s="10" t="s">
        <v>1591</v>
      </c>
    </row>
    <row r="281" spans="1:7" ht="28.8" hidden="1" x14ac:dyDescent="0.3">
      <c r="A281" s="10">
        <v>280</v>
      </c>
      <c r="B281" s="10" t="s">
        <v>1589</v>
      </c>
      <c r="C281" s="10" t="s">
        <v>185</v>
      </c>
      <c r="F281" s="10" t="s">
        <v>1592</v>
      </c>
      <c r="G281" s="10" t="s">
        <v>1593</v>
      </c>
    </row>
    <row r="282" spans="1:7" ht="28.8" hidden="1" x14ac:dyDescent="0.3">
      <c r="A282" s="10">
        <v>281</v>
      </c>
      <c r="B282" s="10" t="s">
        <v>1589</v>
      </c>
      <c r="C282" s="10" t="s">
        <v>659</v>
      </c>
      <c r="F282" s="10" t="s">
        <v>1594</v>
      </c>
      <c r="G282" s="10" t="s">
        <v>1595</v>
      </c>
    </row>
    <row r="283" spans="1:7" ht="28.8" hidden="1" x14ac:dyDescent="0.3">
      <c r="A283" s="10">
        <v>282</v>
      </c>
      <c r="B283" s="10" t="s">
        <v>1596</v>
      </c>
      <c r="C283" s="10" t="s">
        <v>663</v>
      </c>
      <c r="D283" s="10" t="s">
        <v>1419</v>
      </c>
      <c r="F283" s="10" t="s">
        <v>1597</v>
      </c>
      <c r="G283" s="10" t="s">
        <v>1598</v>
      </c>
    </row>
    <row r="284" spans="1:7" ht="28.8" hidden="1" x14ac:dyDescent="0.3">
      <c r="A284" s="10">
        <v>283</v>
      </c>
      <c r="B284" s="10" t="s">
        <v>1596</v>
      </c>
      <c r="C284" s="10" t="s">
        <v>768</v>
      </c>
      <c r="D284" s="10" t="s">
        <v>1599</v>
      </c>
      <c r="F284" s="10" t="s">
        <v>1600</v>
      </c>
      <c r="G284" s="10" t="s">
        <v>1601</v>
      </c>
    </row>
    <row r="285" spans="1:7" ht="28.8" hidden="1" x14ac:dyDescent="0.3">
      <c r="A285" s="10">
        <v>284</v>
      </c>
      <c r="B285" s="10" t="s">
        <v>1602</v>
      </c>
      <c r="C285" s="10" t="s">
        <v>410</v>
      </c>
      <c r="D285" s="10" t="s">
        <v>1603</v>
      </c>
      <c r="E285" s="10" t="s">
        <v>1060</v>
      </c>
      <c r="F285" s="10" t="s">
        <v>1604</v>
      </c>
      <c r="G285" s="10" t="s">
        <v>810</v>
      </c>
    </row>
    <row r="286" spans="1:7" ht="28.8" hidden="1" x14ac:dyDescent="0.3">
      <c r="A286" s="10">
        <v>285</v>
      </c>
      <c r="B286" s="10" t="s">
        <v>1602</v>
      </c>
      <c r="C286" s="10" t="s">
        <v>441</v>
      </c>
      <c r="D286" s="10" t="s">
        <v>1605</v>
      </c>
      <c r="E286" s="10" t="s">
        <v>1060</v>
      </c>
      <c r="F286" s="10" t="s">
        <v>1606</v>
      </c>
      <c r="G286" s="10" t="s">
        <v>811</v>
      </c>
    </row>
    <row r="287" spans="1:7" ht="28.8" hidden="1" x14ac:dyDescent="0.3">
      <c r="A287" s="10">
        <v>286</v>
      </c>
      <c r="B287" s="10" t="s">
        <v>1607</v>
      </c>
      <c r="C287" s="10" t="s">
        <v>813</v>
      </c>
      <c r="D287" s="10" t="s">
        <v>1608</v>
      </c>
      <c r="E287" s="10" t="s">
        <v>1062</v>
      </c>
      <c r="F287" s="10" t="s">
        <v>1609</v>
      </c>
      <c r="G287" s="10" t="s">
        <v>814</v>
      </c>
    </row>
    <row r="288" spans="1:7" ht="28.8" hidden="1" x14ac:dyDescent="0.3">
      <c r="A288" s="10">
        <v>287</v>
      </c>
      <c r="B288" s="10" t="s">
        <v>1607</v>
      </c>
      <c r="C288" s="10" t="s">
        <v>815</v>
      </c>
      <c r="D288" s="10" t="s">
        <v>1610</v>
      </c>
      <c r="E288" s="10" t="s">
        <v>1062</v>
      </c>
      <c r="F288" s="10" t="s">
        <v>1611</v>
      </c>
      <c r="G288" s="10" t="s">
        <v>816</v>
      </c>
    </row>
    <row r="289" spans="1:7" ht="28.8" hidden="1" x14ac:dyDescent="0.3">
      <c r="A289" s="10">
        <v>288</v>
      </c>
      <c r="B289" s="10" t="s">
        <v>1607</v>
      </c>
      <c r="C289" s="10" t="s">
        <v>817</v>
      </c>
      <c r="D289" s="10" t="s">
        <v>1612</v>
      </c>
      <c r="E289" s="10" t="s">
        <v>1060</v>
      </c>
      <c r="F289" s="10" t="s">
        <v>1613</v>
      </c>
      <c r="G289" s="10" t="s">
        <v>818</v>
      </c>
    </row>
    <row r="290" spans="1:7" ht="28.8" hidden="1" x14ac:dyDescent="0.3">
      <c r="A290" s="10">
        <v>289</v>
      </c>
      <c r="B290" s="10" t="s">
        <v>1607</v>
      </c>
      <c r="C290" s="10" t="s">
        <v>819</v>
      </c>
      <c r="D290" s="10" t="s">
        <v>1614</v>
      </c>
      <c r="E290" s="10" t="s">
        <v>1062</v>
      </c>
      <c r="F290" s="10" t="s">
        <v>1615</v>
      </c>
      <c r="G290" s="10" t="s">
        <v>820</v>
      </c>
    </row>
    <row r="291" spans="1:7" ht="43.2" hidden="1" x14ac:dyDescent="0.3">
      <c r="A291" s="10">
        <v>290</v>
      </c>
      <c r="B291" s="10" t="s">
        <v>1616</v>
      </c>
      <c r="C291" s="10" t="s">
        <v>822</v>
      </c>
      <c r="D291" s="10" t="s">
        <v>1617</v>
      </c>
      <c r="E291" s="10" t="s">
        <v>1618</v>
      </c>
      <c r="F291" s="10" t="s">
        <v>1619</v>
      </c>
      <c r="G291" s="10" t="s">
        <v>823</v>
      </c>
    </row>
    <row r="292" spans="1:7" ht="43.2" hidden="1" x14ac:dyDescent="0.3">
      <c r="A292" s="10">
        <v>291</v>
      </c>
      <c r="B292" s="10" t="s">
        <v>1616</v>
      </c>
      <c r="C292" s="10" t="s">
        <v>824</v>
      </c>
      <c r="D292" s="10" t="s">
        <v>1620</v>
      </c>
      <c r="E292" s="10" t="s">
        <v>1608</v>
      </c>
      <c r="F292" s="10" t="s">
        <v>1621</v>
      </c>
      <c r="G292" s="10" t="s">
        <v>825</v>
      </c>
    </row>
    <row r="293" spans="1:7" ht="43.2" hidden="1" x14ac:dyDescent="0.3">
      <c r="A293" s="10">
        <v>292</v>
      </c>
      <c r="B293" s="10" t="s">
        <v>1616</v>
      </c>
      <c r="C293" s="10" t="s">
        <v>826</v>
      </c>
      <c r="D293" s="10" t="s">
        <v>1622</v>
      </c>
      <c r="E293" s="10" t="s">
        <v>1608</v>
      </c>
      <c r="F293" s="10" t="s">
        <v>1623</v>
      </c>
      <c r="G293" s="10" t="s">
        <v>827</v>
      </c>
    </row>
    <row r="294" spans="1:7" ht="43.2" hidden="1" x14ac:dyDescent="0.3">
      <c r="A294" s="10">
        <v>293</v>
      </c>
      <c r="B294" s="10" t="s">
        <v>1616</v>
      </c>
      <c r="C294" s="10" t="s">
        <v>828</v>
      </c>
      <c r="D294" s="10" t="s">
        <v>1624</v>
      </c>
      <c r="E294" s="10" t="s">
        <v>1622</v>
      </c>
      <c r="F294" s="10" t="s">
        <v>1625</v>
      </c>
      <c r="G294" s="10" t="s">
        <v>829</v>
      </c>
    </row>
    <row r="295" spans="1:7" ht="43.2" hidden="1" x14ac:dyDescent="0.3">
      <c r="A295" s="10">
        <v>294</v>
      </c>
      <c r="B295" s="10" t="s">
        <v>1616</v>
      </c>
      <c r="C295" s="10" t="s">
        <v>830</v>
      </c>
      <c r="D295" s="10" t="s">
        <v>1626</v>
      </c>
      <c r="E295" s="10" t="s">
        <v>1608</v>
      </c>
      <c r="F295" s="10" t="s">
        <v>1627</v>
      </c>
      <c r="G295" s="10" t="s">
        <v>831</v>
      </c>
    </row>
    <row r="296" spans="1:7" ht="43.2" hidden="1" x14ac:dyDescent="0.3">
      <c r="A296" s="10">
        <v>295</v>
      </c>
      <c r="B296" s="10" t="s">
        <v>1616</v>
      </c>
      <c r="C296" s="10" t="s">
        <v>832</v>
      </c>
      <c r="D296" s="10" t="s">
        <v>1628</v>
      </c>
      <c r="E296" s="10" t="s">
        <v>1608</v>
      </c>
      <c r="F296" s="10" t="s">
        <v>1629</v>
      </c>
      <c r="G296" s="10" t="s">
        <v>833</v>
      </c>
    </row>
    <row r="297" spans="1:7" ht="43.2" hidden="1" x14ac:dyDescent="0.3">
      <c r="A297" s="10">
        <v>296</v>
      </c>
      <c r="B297" s="10" t="s">
        <v>1616</v>
      </c>
      <c r="C297" s="10" t="s">
        <v>834</v>
      </c>
      <c r="D297" s="10" t="s">
        <v>1618</v>
      </c>
      <c r="E297" s="10" t="s">
        <v>1608</v>
      </c>
      <c r="F297" s="10" t="s">
        <v>1630</v>
      </c>
      <c r="G297" s="10" t="s">
        <v>835</v>
      </c>
    </row>
    <row r="298" spans="1:7" ht="43.2" hidden="1" x14ac:dyDescent="0.3">
      <c r="A298" s="10">
        <v>297</v>
      </c>
      <c r="B298" s="10" t="s">
        <v>1616</v>
      </c>
      <c r="C298" s="10" t="s">
        <v>836</v>
      </c>
      <c r="D298" s="10" t="s">
        <v>1631</v>
      </c>
      <c r="E298" s="10" t="s">
        <v>1608</v>
      </c>
      <c r="F298" s="10" t="s">
        <v>1632</v>
      </c>
      <c r="G298" s="10" t="s">
        <v>837</v>
      </c>
    </row>
    <row r="299" spans="1:7" ht="43.2" hidden="1" x14ac:dyDescent="0.3">
      <c r="A299" s="10">
        <v>298</v>
      </c>
      <c r="B299" s="10" t="s">
        <v>1616</v>
      </c>
      <c r="C299" s="10" t="s">
        <v>838</v>
      </c>
      <c r="D299" s="10" t="s">
        <v>1633</v>
      </c>
      <c r="E299" s="10" t="s">
        <v>1608</v>
      </c>
      <c r="F299" s="10" t="s">
        <v>1634</v>
      </c>
      <c r="G299" s="10" t="s">
        <v>839</v>
      </c>
    </row>
    <row r="300" spans="1:7" ht="43.2" hidden="1" x14ac:dyDescent="0.3">
      <c r="A300" s="10">
        <v>299</v>
      </c>
      <c r="B300" s="10" t="s">
        <v>1635</v>
      </c>
      <c r="C300" s="10" t="s">
        <v>841</v>
      </c>
      <c r="D300" s="10" t="s">
        <v>1636</v>
      </c>
      <c r="E300" s="10" t="s">
        <v>1608</v>
      </c>
      <c r="F300" s="10" t="s">
        <v>1637</v>
      </c>
      <c r="G300" s="10" t="s">
        <v>842</v>
      </c>
    </row>
    <row r="301" spans="1:7" ht="43.2" hidden="1" x14ac:dyDescent="0.3">
      <c r="A301" s="10">
        <v>300</v>
      </c>
      <c r="B301" s="10" t="s">
        <v>1635</v>
      </c>
      <c r="C301" s="10" t="s">
        <v>843</v>
      </c>
      <c r="D301" s="10" t="s">
        <v>1638</v>
      </c>
      <c r="E301" s="10" t="s">
        <v>1636</v>
      </c>
      <c r="F301" s="10" t="s">
        <v>1639</v>
      </c>
      <c r="G301" s="10" t="s">
        <v>844</v>
      </c>
    </row>
    <row r="302" spans="1:7" ht="43.2" hidden="1" x14ac:dyDescent="0.3">
      <c r="A302" s="10">
        <v>301</v>
      </c>
      <c r="B302" s="10" t="s">
        <v>1635</v>
      </c>
      <c r="C302" s="10" t="s">
        <v>845</v>
      </c>
      <c r="D302" s="10" t="s">
        <v>1640</v>
      </c>
      <c r="E302" s="10" t="s">
        <v>1636</v>
      </c>
      <c r="F302" s="10" t="s">
        <v>1641</v>
      </c>
      <c r="G302" s="10" t="s">
        <v>846</v>
      </c>
    </row>
    <row r="303" spans="1:7" ht="43.2" hidden="1" x14ac:dyDescent="0.3">
      <c r="A303" s="10">
        <v>302</v>
      </c>
      <c r="B303" s="10" t="s">
        <v>1635</v>
      </c>
      <c r="C303" s="10" t="s">
        <v>847</v>
      </c>
      <c r="D303" s="10" t="s">
        <v>1642</v>
      </c>
      <c r="E303" s="10" t="s">
        <v>1608</v>
      </c>
      <c r="F303" s="10" t="s">
        <v>1643</v>
      </c>
      <c r="G303" s="10" t="s">
        <v>848</v>
      </c>
    </row>
    <row r="304" spans="1:7" ht="43.2" hidden="1" x14ac:dyDescent="0.3">
      <c r="A304" s="10">
        <v>303</v>
      </c>
      <c r="B304" s="10" t="s">
        <v>1635</v>
      </c>
      <c r="C304" s="10" t="s">
        <v>849</v>
      </c>
      <c r="D304" s="10" t="s">
        <v>1644</v>
      </c>
      <c r="E304" s="10" t="s">
        <v>1642</v>
      </c>
      <c r="F304" s="10" t="s">
        <v>1645</v>
      </c>
      <c r="G304" s="10" t="s">
        <v>850</v>
      </c>
    </row>
    <row r="305" spans="1:7" ht="43.2" hidden="1" x14ac:dyDescent="0.3">
      <c r="A305" s="10">
        <v>304</v>
      </c>
      <c r="B305" s="10" t="s">
        <v>1635</v>
      </c>
      <c r="C305" s="10" t="s">
        <v>851</v>
      </c>
      <c r="D305" s="10" t="s">
        <v>1646</v>
      </c>
      <c r="E305" s="10" t="s">
        <v>1608</v>
      </c>
      <c r="F305" s="10" t="s">
        <v>1647</v>
      </c>
      <c r="G305" s="10" t="s">
        <v>852</v>
      </c>
    </row>
    <row r="306" spans="1:7" ht="43.2" hidden="1" x14ac:dyDescent="0.3">
      <c r="A306" s="10">
        <v>305</v>
      </c>
      <c r="B306" s="10" t="s">
        <v>1635</v>
      </c>
      <c r="C306" s="10" t="s">
        <v>853</v>
      </c>
      <c r="D306" s="10" t="s">
        <v>1648</v>
      </c>
      <c r="E306" s="10" t="s">
        <v>1608</v>
      </c>
      <c r="F306" s="10" t="s">
        <v>1649</v>
      </c>
      <c r="G306" s="10" t="s">
        <v>854</v>
      </c>
    </row>
    <row r="307" spans="1:7" ht="43.2" hidden="1" x14ac:dyDescent="0.3">
      <c r="A307" s="10">
        <v>306</v>
      </c>
      <c r="B307" s="10" t="s">
        <v>1635</v>
      </c>
      <c r="C307" s="10" t="s">
        <v>855</v>
      </c>
      <c r="D307" s="10" t="s">
        <v>1650</v>
      </c>
      <c r="E307" s="10" t="s">
        <v>1646</v>
      </c>
      <c r="F307" s="10" t="s">
        <v>1651</v>
      </c>
      <c r="G307" s="10" t="s">
        <v>856</v>
      </c>
    </row>
    <row r="308" spans="1:7" ht="43.2" hidden="1" x14ac:dyDescent="0.3">
      <c r="A308" s="10">
        <v>307</v>
      </c>
      <c r="B308" s="10" t="s">
        <v>1652</v>
      </c>
      <c r="C308" s="10" t="s">
        <v>858</v>
      </c>
      <c r="D308" s="10" t="s">
        <v>1653</v>
      </c>
      <c r="E308" s="10" t="s">
        <v>1608</v>
      </c>
      <c r="F308" s="10" t="s">
        <v>1654</v>
      </c>
      <c r="G308" s="10" t="s">
        <v>859</v>
      </c>
    </row>
    <row r="309" spans="1:7" ht="43.2" hidden="1" x14ac:dyDescent="0.3">
      <c r="A309" s="10">
        <v>308</v>
      </c>
      <c r="B309" s="10" t="s">
        <v>1652</v>
      </c>
      <c r="C309" s="10" t="s">
        <v>860</v>
      </c>
      <c r="D309" s="10" t="s">
        <v>1655</v>
      </c>
      <c r="E309" s="10" t="s">
        <v>1656</v>
      </c>
      <c r="F309" s="10" t="s">
        <v>1657</v>
      </c>
      <c r="G309" s="10" t="s">
        <v>861</v>
      </c>
    </row>
    <row r="310" spans="1:7" ht="43.2" hidden="1" x14ac:dyDescent="0.3">
      <c r="A310" s="10">
        <v>309</v>
      </c>
      <c r="B310" s="10" t="s">
        <v>1652</v>
      </c>
      <c r="C310" s="10" t="s">
        <v>862</v>
      </c>
      <c r="D310" s="10" t="s">
        <v>1656</v>
      </c>
      <c r="E310" s="10" t="s">
        <v>1608</v>
      </c>
      <c r="F310" s="10" t="s">
        <v>1658</v>
      </c>
      <c r="G310" s="10" t="s">
        <v>863</v>
      </c>
    </row>
    <row r="311" spans="1:7" ht="43.2" hidden="1" x14ac:dyDescent="0.3">
      <c r="A311" s="10">
        <v>310</v>
      </c>
      <c r="B311" s="10" t="s">
        <v>1652</v>
      </c>
      <c r="C311" s="10" t="s">
        <v>864</v>
      </c>
      <c r="D311" s="10" t="s">
        <v>1659</v>
      </c>
      <c r="E311" s="10" t="s">
        <v>1660</v>
      </c>
      <c r="F311" s="10" t="s">
        <v>1661</v>
      </c>
      <c r="G311" s="10" t="s">
        <v>865</v>
      </c>
    </row>
    <row r="312" spans="1:7" ht="43.2" hidden="1" x14ac:dyDescent="0.3">
      <c r="A312" s="10">
        <v>311</v>
      </c>
      <c r="B312" s="10" t="s">
        <v>1652</v>
      </c>
      <c r="C312" s="10" t="s">
        <v>866</v>
      </c>
      <c r="D312" s="10" t="s">
        <v>1660</v>
      </c>
      <c r="E312" s="10" t="s">
        <v>1608</v>
      </c>
      <c r="F312" s="10" t="s">
        <v>1662</v>
      </c>
      <c r="G312" s="10" t="s">
        <v>867</v>
      </c>
    </row>
    <row r="313" spans="1:7" ht="43.2" hidden="1" x14ac:dyDescent="0.3">
      <c r="A313" s="10">
        <v>312</v>
      </c>
      <c r="B313" s="10" t="s">
        <v>1652</v>
      </c>
      <c r="C313" s="10" t="s">
        <v>868</v>
      </c>
      <c r="D313" s="10" t="s">
        <v>1663</v>
      </c>
      <c r="E313" s="10" t="s">
        <v>1608</v>
      </c>
      <c r="F313" s="10" t="s">
        <v>1664</v>
      </c>
      <c r="G313" s="10" t="s">
        <v>869</v>
      </c>
    </row>
    <row r="314" spans="1:7" ht="43.2" hidden="1" x14ac:dyDescent="0.3">
      <c r="A314" s="10">
        <v>313</v>
      </c>
      <c r="B314" s="10" t="s">
        <v>1652</v>
      </c>
      <c r="C314" s="10" t="s">
        <v>870</v>
      </c>
      <c r="D314" s="10" t="s">
        <v>1665</v>
      </c>
      <c r="E314" s="10" t="s">
        <v>1608</v>
      </c>
      <c r="F314" s="10" t="s">
        <v>1666</v>
      </c>
      <c r="G314" s="10" t="s">
        <v>871</v>
      </c>
    </row>
    <row r="315" spans="1:7" ht="43.2" hidden="1" x14ac:dyDescent="0.3">
      <c r="A315" s="10">
        <v>314</v>
      </c>
      <c r="B315" s="10" t="s">
        <v>1652</v>
      </c>
      <c r="C315" s="10" t="s">
        <v>872</v>
      </c>
      <c r="D315" s="10" t="s">
        <v>1667</v>
      </c>
      <c r="E315" s="10" t="s">
        <v>1608</v>
      </c>
      <c r="F315" s="10" t="s">
        <v>1668</v>
      </c>
      <c r="G315" s="10" t="s">
        <v>873</v>
      </c>
    </row>
    <row r="316" spans="1:7" ht="43.2" hidden="1" x14ac:dyDescent="0.3">
      <c r="A316" s="10">
        <v>315</v>
      </c>
      <c r="B316" s="10" t="s">
        <v>1652</v>
      </c>
      <c r="C316" s="10" t="s">
        <v>874</v>
      </c>
      <c r="D316" s="10" t="s">
        <v>1669</v>
      </c>
      <c r="E316" s="10" t="s">
        <v>1608</v>
      </c>
      <c r="F316" s="10" t="s">
        <v>1670</v>
      </c>
      <c r="G316" s="10" t="s">
        <v>875</v>
      </c>
    </row>
    <row r="317" spans="1:7" ht="43.2" hidden="1" x14ac:dyDescent="0.3">
      <c r="A317" s="10">
        <v>316</v>
      </c>
      <c r="B317" s="10" t="s">
        <v>1652</v>
      </c>
      <c r="C317" s="10" t="s">
        <v>876</v>
      </c>
      <c r="D317" s="10" t="s">
        <v>1671</v>
      </c>
      <c r="E317" s="10" t="s">
        <v>1608</v>
      </c>
      <c r="F317" s="10" t="s">
        <v>1672</v>
      </c>
      <c r="G317" s="10" t="s">
        <v>877</v>
      </c>
    </row>
    <row r="318" spans="1:7" ht="43.2" hidden="1" x14ac:dyDescent="0.3">
      <c r="A318" s="10">
        <v>317</v>
      </c>
      <c r="B318" s="10" t="s">
        <v>1652</v>
      </c>
      <c r="C318" s="10" t="s">
        <v>878</v>
      </c>
      <c r="D318" s="10" t="s">
        <v>1673</v>
      </c>
      <c r="E318" s="10" t="s">
        <v>1608</v>
      </c>
      <c r="F318" s="10" t="s">
        <v>1674</v>
      </c>
      <c r="G318" s="10" t="s">
        <v>879</v>
      </c>
    </row>
    <row r="319" spans="1:7" ht="28.8" hidden="1" x14ac:dyDescent="0.3">
      <c r="A319" s="10">
        <v>318</v>
      </c>
      <c r="B319" s="10" t="s">
        <v>1675</v>
      </c>
      <c r="C319" s="10" t="s">
        <v>881</v>
      </c>
      <c r="D319" s="10" t="s">
        <v>1676</v>
      </c>
      <c r="E319" s="10" t="s">
        <v>1060</v>
      </c>
      <c r="F319" s="10" t="s">
        <v>1677</v>
      </c>
      <c r="G319" s="10" t="s">
        <v>882</v>
      </c>
    </row>
    <row r="320" spans="1:7" ht="43.2" hidden="1" x14ac:dyDescent="0.3">
      <c r="A320" s="10">
        <v>319</v>
      </c>
      <c r="B320" s="10" t="s">
        <v>1678</v>
      </c>
      <c r="C320" s="10" t="s">
        <v>884</v>
      </c>
      <c r="D320" s="10" t="s">
        <v>1679</v>
      </c>
      <c r="E320" s="10" t="s">
        <v>1676</v>
      </c>
      <c r="F320" s="10" t="s">
        <v>1680</v>
      </c>
      <c r="G320" s="10" t="s">
        <v>885</v>
      </c>
    </row>
    <row r="321" spans="1:7" ht="43.2" hidden="1" x14ac:dyDescent="0.3">
      <c r="A321" s="10">
        <v>320</v>
      </c>
      <c r="B321" s="10" t="s">
        <v>1678</v>
      </c>
      <c r="C321" s="10" t="s">
        <v>886</v>
      </c>
      <c r="D321" s="10" t="s">
        <v>1681</v>
      </c>
      <c r="E321" s="10" t="s">
        <v>1676</v>
      </c>
      <c r="F321" s="10" t="s">
        <v>1682</v>
      </c>
      <c r="G321" s="10" t="s">
        <v>887</v>
      </c>
    </row>
    <row r="322" spans="1:7" ht="43.2" hidden="1" x14ac:dyDescent="0.3">
      <c r="A322" s="10">
        <v>321</v>
      </c>
      <c r="B322" s="10" t="s">
        <v>1678</v>
      </c>
      <c r="C322" s="10" t="s">
        <v>888</v>
      </c>
      <c r="D322" s="10" t="s">
        <v>1683</v>
      </c>
      <c r="E322" s="10" t="s">
        <v>1676</v>
      </c>
      <c r="F322" s="10" t="s">
        <v>1684</v>
      </c>
      <c r="G322" s="10" t="s">
        <v>889</v>
      </c>
    </row>
    <row r="323" spans="1:7" ht="43.2" hidden="1" x14ac:dyDescent="0.3">
      <c r="A323" s="10">
        <v>322</v>
      </c>
      <c r="B323" s="10" t="s">
        <v>1678</v>
      </c>
      <c r="C323" s="10" t="s">
        <v>890</v>
      </c>
      <c r="D323" s="10" t="s">
        <v>1685</v>
      </c>
      <c r="E323" s="10" t="s">
        <v>1676</v>
      </c>
      <c r="F323" s="10" t="s">
        <v>1686</v>
      </c>
      <c r="G323" s="10" t="s">
        <v>891</v>
      </c>
    </row>
    <row r="324" spans="1:7" ht="43.2" hidden="1" x14ac:dyDescent="0.3">
      <c r="A324" s="10">
        <v>323</v>
      </c>
      <c r="B324" s="10" t="s">
        <v>1678</v>
      </c>
      <c r="C324" s="10" t="s">
        <v>411</v>
      </c>
      <c r="D324" s="10" t="s">
        <v>1687</v>
      </c>
      <c r="E324" s="10" t="s">
        <v>1676</v>
      </c>
      <c r="F324" s="10" t="s">
        <v>1688</v>
      </c>
      <c r="G324" s="10" t="s">
        <v>892</v>
      </c>
    </row>
    <row r="325" spans="1:7" ht="43.2" hidden="1" x14ac:dyDescent="0.3">
      <c r="A325" s="10">
        <v>324</v>
      </c>
      <c r="B325" s="10" t="s">
        <v>1678</v>
      </c>
      <c r="C325" s="10" t="s">
        <v>412</v>
      </c>
      <c r="D325" s="10" t="s">
        <v>1689</v>
      </c>
      <c r="E325" s="10" t="s">
        <v>1676</v>
      </c>
      <c r="F325" s="10" t="s">
        <v>1690</v>
      </c>
      <c r="G325" s="10" t="s">
        <v>893</v>
      </c>
    </row>
    <row r="326" spans="1:7" ht="43.2" hidden="1" x14ac:dyDescent="0.3">
      <c r="A326" s="10">
        <v>325</v>
      </c>
      <c r="B326" s="10" t="s">
        <v>1678</v>
      </c>
      <c r="C326" s="10" t="s">
        <v>894</v>
      </c>
      <c r="D326" s="10" t="s">
        <v>1691</v>
      </c>
      <c r="E326" s="10" t="s">
        <v>1676</v>
      </c>
      <c r="F326" s="10" t="s">
        <v>1692</v>
      </c>
      <c r="G326" s="10" t="s">
        <v>895</v>
      </c>
    </row>
    <row r="327" spans="1:7" ht="43.2" hidden="1" x14ac:dyDescent="0.3">
      <c r="A327" s="10">
        <v>326</v>
      </c>
      <c r="B327" s="10" t="s">
        <v>1678</v>
      </c>
      <c r="C327" s="10" t="s">
        <v>896</v>
      </c>
      <c r="D327" s="10" t="s">
        <v>1693</v>
      </c>
      <c r="E327" s="10" t="s">
        <v>1676</v>
      </c>
      <c r="F327" s="10" t="s">
        <v>1694</v>
      </c>
      <c r="G327" s="10" t="s">
        <v>897</v>
      </c>
    </row>
    <row r="328" spans="1:7" ht="43.2" hidden="1" x14ac:dyDescent="0.3">
      <c r="A328" s="10">
        <v>327</v>
      </c>
      <c r="B328" s="10" t="s">
        <v>1678</v>
      </c>
      <c r="C328" s="10" t="s">
        <v>898</v>
      </c>
      <c r="D328" s="10" t="s">
        <v>1695</v>
      </c>
      <c r="E328" s="10" t="s">
        <v>1676</v>
      </c>
      <c r="F328" s="10" t="s">
        <v>1696</v>
      </c>
      <c r="G328" s="10" t="s">
        <v>899</v>
      </c>
    </row>
    <row r="329" spans="1:7" ht="43.2" hidden="1" x14ac:dyDescent="0.3">
      <c r="A329" s="10">
        <v>328</v>
      </c>
      <c r="B329" s="10" t="s">
        <v>1697</v>
      </c>
      <c r="C329" s="10" t="s">
        <v>901</v>
      </c>
      <c r="D329" s="10" t="s">
        <v>1698</v>
      </c>
      <c r="E329" s="10" t="s">
        <v>1676</v>
      </c>
      <c r="F329" s="10" t="s">
        <v>1699</v>
      </c>
      <c r="G329" s="10" t="s">
        <v>902</v>
      </c>
    </row>
    <row r="330" spans="1:7" ht="43.2" hidden="1" x14ac:dyDescent="0.3">
      <c r="A330" s="10">
        <v>329</v>
      </c>
      <c r="B330" s="10" t="s">
        <v>1697</v>
      </c>
      <c r="C330" s="10" t="s">
        <v>903</v>
      </c>
      <c r="D330" s="10" t="s">
        <v>1700</v>
      </c>
      <c r="E330" s="10" t="s">
        <v>1676</v>
      </c>
      <c r="F330" s="10" t="s">
        <v>1701</v>
      </c>
      <c r="G330" s="10" t="s">
        <v>904</v>
      </c>
    </row>
    <row r="331" spans="1:7" ht="43.2" hidden="1" x14ac:dyDescent="0.3">
      <c r="A331" s="10">
        <v>330</v>
      </c>
      <c r="B331" s="10" t="s">
        <v>1697</v>
      </c>
      <c r="C331" s="10" t="s">
        <v>905</v>
      </c>
      <c r="D331" s="10" t="s">
        <v>1702</v>
      </c>
      <c r="E331" s="10" t="s">
        <v>1676</v>
      </c>
      <c r="F331" s="10" t="s">
        <v>1703</v>
      </c>
      <c r="G331" s="10" t="s">
        <v>906</v>
      </c>
    </row>
    <row r="332" spans="1:7" ht="43.2" hidden="1" x14ac:dyDescent="0.3">
      <c r="A332" s="10">
        <v>331</v>
      </c>
      <c r="B332" s="10" t="s">
        <v>1697</v>
      </c>
      <c r="C332" s="10" t="s">
        <v>907</v>
      </c>
      <c r="D332" s="10" t="s">
        <v>1704</v>
      </c>
      <c r="E332" s="10" t="s">
        <v>1676</v>
      </c>
      <c r="F332" s="10" t="s">
        <v>1705</v>
      </c>
      <c r="G332" s="10" t="s">
        <v>908</v>
      </c>
    </row>
    <row r="333" spans="1:7" ht="43.2" hidden="1" x14ac:dyDescent="0.3">
      <c r="A333" s="10">
        <v>332</v>
      </c>
      <c r="B333" s="10" t="s">
        <v>1697</v>
      </c>
      <c r="C333" s="10" t="s">
        <v>909</v>
      </c>
      <c r="D333" s="10" t="s">
        <v>1706</v>
      </c>
      <c r="E333" s="10" t="s">
        <v>1676</v>
      </c>
      <c r="F333" s="10" t="s">
        <v>1707</v>
      </c>
      <c r="G333" s="10" t="s">
        <v>910</v>
      </c>
    </row>
    <row r="334" spans="1:7" ht="43.2" hidden="1" x14ac:dyDescent="0.3">
      <c r="A334" s="10">
        <v>333</v>
      </c>
      <c r="B334" s="10" t="s">
        <v>1697</v>
      </c>
      <c r="C334" s="10" t="s">
        <v>911</v>
      </c>
      <c r="D334" s="10" t="s">
        <v>1708</v>
      </c>
      <c r="E334" s="10" t="s">
        <v>1676</v>
      </c>
      <c r="F334" s="10" t="s">
        <v>1709</v>
      </c>
      <c r="G334" s="10" t="s">
        <v>912</v>
      </c>
    </row>
    <row r="335" spans="1:7" ht="43.2" hidden="1" x14ac:dyDescent="0.3">
      <c r="A335" s="10">
        <v>334</v>
      </c>
      <c r="B335" s="10" t="s">
        <v>1697</v>
      </c>
      <c r="C335" s="10" t="s">
        <v>413</v>
      </c>
      <c r="D335" s="10" t="s">
        <v>1710</v>
      </c>
      <c r="E335" s="10" t="s">
        <v>1676</v>
      </c>
      <c r="F335" s="10" t="s">
        <v>1711</v>
      </c>
      <c r="G335" s="10" t="s">
        <v>913</v>
      </c>
    </row>
    <row r="336" spans="1:7" ht="43.2" hidden="1" x14ac:dyDescent="0.3">
      <c r="A336" s="10">
        <v>335</v>
      </c>
      <c r="B336" s="10" t="s">
        <v>1697</v>
      </c>
      <c r="C336" s="10" t="s">
        <v>914</v>
      </c>
      <c r="D336" s="10" t="s">
        <v>1712</v>
      </c>
      <c r="E336" s="10" t="s">
        <v>1676</v>
      </c>
      <c r="F336" s="10" t="s">
        <v>1713</v>
      </c>
      <c r="G336" s="10" t="s">
        <v>915</v>
      </c>
    </row>
    <row r="337" spans="1:7" ht="43.2" hidden="1" x14ac:dyDescent="0.3">
      <c r="A337" s="10">
        <v>336</v>
      </c>
      <c r="B337" s="10" t="s">
        <v>1714</v>
      </c>
      <c r="C337" s="10" t="s">
        <v>917</v>
      </c>
      <c r="D337" s="10" t="s">
        <v>1715</v>
      </c>
      <c r="E337" s="10" t="s">
        <v>1676</v>
      </c>
      <c r="F337" s="10" t="s">
        <v>1716</v>
      </c>
      <c r="G337" s="10" t="s">
        <v>918</v>
      </c>
    </row>
    <row r="338" spans="1:7" ht="43.2" hidden="1" x14ac:dyDescent="0.3">
      <c r="A338" s="10">
        <v>337</v>
      </c>
      <c r="B338" s="10" t="s">
        <v>1714</v>
      </c>
      <c r="C338" s="10" t="s">
        <v>919</v>
      </c>
      <c r="D338" s="10" t="s">
        <v>1717</v>
      </c>
      <c r="E338" s="10" t="s">
        <v>1676</v>
      </c>
      <c r="F338" s="10" t="s">
        <v>1718</v>
      </c>
      <c r="G338" s="10" t="s">
        <v>920</v>
      </c>
    </row>
    <row r="339" spans="1:7" ht="43.2" hidden="1" x14ac:dyDescent="0.3">
      <c r="A339" s="10">
        <v>338</v>
      </c>
      <c r="B339" s="10" t="s">
        <v>1714</v>
      </c>
      <c r="C339" s="10" t="s">
        <v>921</v>
      </c>
      <c r="D339" s="10" t="s">
        <v>1719</v>
      </c>
      <c r="E339" s="10" t="s">
        <v>1676</v>
      </c>
      <c r="F339" s="10" t="s">
        <v>1720</v>
      </c>
      <c r="G339" s="10" t="s">
        <v>922</v>
      </c>
    </row>
    <row r="340" spans="1:7" ht="43.2" hidden="1" x14ac:dyDescent="0.3">
      <c r="A340" s="10">
        <v>339</v>
      </c>
      <c r="B340" s="10" t="s">
        <v>1714</v>
      </c>
      <c r="C340" s="10" t="s">
        <v>923</v>
      </c>
      <c r="D340" s="10" t="s">
        <v>1721</v>
      </c>
      <c r="E340" s="10" t="s">
        <v>1676</v>
      </c>
      <c r="F340" s="10" t="s">
        <v>1722</v>
      </c>
      <c r="G340" s="10" t="s">
        <v>924</v>
      </c>
    </row>
    <row r="341" spans="1:7" ht="43.2" hidden="1" x14ac:dyDescent="0.3">
      <c r="A341" s="10">
        <v>340</v>
      </c>
      <c r="B341" s="10" t="s">
        <v>1714</v>
      </c>
      <c r="C341" s="10" t="s">
        <v>925</v>
      </c>
      <c r="D341" s="10" t="s">
        <v>1723</v>
      </c>
      <c r="E341" s="10" t="s">
        <v>1676</v>
      </c>
      <c r="F341" s="10" t="s">
        <v>1724</v>
      </c>
      <c r="G341" s="10" t="s">
        <v>926</v>
      </c>
    </row>
    <row r="342" spans="1:7" ht="43.2" hidden="1" x14ac:dyDescent="0.3">
      <c r="A342" s="10">
        <v>341</v>
      </c>
      <c r="B342" s="10" t="s">
        <v>1714</v>
      </c>
      <c r="C342" s="10" t="s">
        <v>927</v>
      </c>
      <c r="D342" s="10" t="s">
        <v>1725</v>
      </c>
      <c r="E342" s="10" t="s">
        <v>1676</v>
      </c>
      <c r="F342" s="10" t="s">
        <v>1726</v>
      </c>
      <c r="G342" s="10" t="s">
        <v>928</v>
      </c>
    </row>
    <row r="343" spans="1:7" ht="43.2" hidden="1" x14ac:dyDescent="0.3">
      <c r="A343" s="10">
        <v>342</v>
      </c>
      <c r="B343" s="10" t="s">
        <v>1714</v>
      </c>
      <c r="C343" s="10" t="s">
        <v>929</v>
      </c>
      <c r="D343" s="10" t="s">
        <v>1727</v>
      </c>
      <c r="E343" s="10" t="s">
        <v>1676</v>
      </c>
      <c r="F343" s="10" t="s">
        <v>1728</v>
      </c>
      <c r="G343" s="10" t="s">
        <v>930</v>
      </c>
    </row>
    <row r="344" spans="1:7" ht="43.2" hidden="1" x14ac:dyDescent="0.3">
      <c r="A344" s="10">
        <v>343</v>
      </c>
      <c r="B344" s="10" t="s">
        <v>1714</v>
      </c>
      <c r="C344" s="10" t="s">
        <v>931</v>
      </c>
      <c r="D344" s="10" t="s">
        <v>1729</v>
      </c>
      <c r="E344" s="10" t="s">
        <v>1676</v>
      </c>
      <c r="F344" s="10" t="s">
        <v>1730</v>
      </c>
      <c r="G344" s="10" t="s">
        <v>932</v>
      </c>
    </row>
    <row r="345" spans="1:7" ht="43.2" hidden="1" x14ac:dyDescent="0.3">
      <c r="A345" s="10">
        <v>344</v>
      </c>
      <c r="B345" s="10" t="s">
        <v>1714</v>
      </c>
      <c r="C345" s="10" t="s">
        <v>933</v>
      </c>
      <c r="D345" s="10" t="s">
        <v>1731</v>
      </c>
      <c r="E345" s="10" t="s">
        <v>1676</v>
      </c>
      <c r="F345" s="10" t="s">
        <v>1732</v>
      </c>
      <c r="G345" s="10" t="s">
        <v>934</v>
      </c>
    </row>
    <row r="346" spans="1:7" ht="43.2" hidden="1" x14ac:dyDescent="0.3">
      <c r="A346" s="10">
        <v>345</v>
      </c>
      <c r="B346" s="10" t="s">
        <v>1714</v>
      </c>
      <c r="C346" s="10" t="s">
        <v>935</v>
      </c>
      <c r="D346" s="10" t="s">
        <v>1733</v>
      </c>
      <c r="E346" s="10" t="s">
        <v>1676</v>
      </c>
      <c r="F346" s="10" t="s">
        <v>1734</v>
      </c>
      <c r="G346" s="10" t="s">
        <v>936</v>
      </c>
    </row>
    <row r="347" spans="1:7" ht="43.2" hidden="1" x14ac:dyDescent="0.3">
      <c r="A347" s="10">
        <v>346</v>
      </c>
      <c r="B347" s="10" t="s">
        <v>1714</v>
      </c>
      <c r="C347" s="10" t="s">
        <v>937</v>
      </c>
      <c r="D347" s="10" t="s">
        <v>1735</v>
      </c>
      <c r="E347" s="10" t="s">
        <v>1676</v>
      </c>
      <c r="F347" s="10" t="s">
        <v>1736</v>
      </c>
      <c r="G347" s="10" t="s">
        <v>938</v>
      </c>
    </row>
    <row r="348" spans="1:7" ht="28.8" hidden="1" x14ac:dyDescent="0.3">
      <c r="A348" s="10">
        <v>347</v>
      </c>
      <c r="B348" s="10" t="s">
        <v>1737</v>
      </c>
      <c r="C348" s="10" t="s">
        <v>342</v>
      </c>
      <c r="D348" s="10" t="s">
        <v>1738</v>
      </c>
      <c r="E348" s="10" t="s">
        <v>1060</v>
      </c>
      <c r="F348" s="10" t="s">
        <v>1739</v>
      </c>
      <c r="G348" s="10" t="s">
        <v>940</v>
      </c>
    </row>
    <row r="349" spans="1:7" ht="28.8" hidden="1" x14ac:dyDescent="0.3">
      <c r="A349" s="10">
        <v>348</v>
      </c>
      <c r="B349" s="10" t="s">
        <v>1737</v>
      </c>
      <c r="C349" s="10" t="s">
        <v>343</v>
      </c>
      <c r="D349" s="10" t="s">
        <v>1740</v>
      </c>
      <c r="E349" s="10" t="s">
        <v>1738</v>
      </c>
      <c r="F349" s="10" t="s">
        <v>1741</v>
      </c>
      <c r="G349" s="10" t="s">
        <v>941</v>
      </c>
    </row>
    <row r="350" spans="1:7" ht="28.8" hidden="1" x14ac:dyDescent="0.3">
      <c r="A350" s="10">
        <v>349</v>
      </c>
      <c r="B350" s="10" t="s">
        <v>1737</v>
      </c>
      <c r="C350" s="10" t="s">
        <v>344</v>
      </c>
      <c r="D350" s="10" t="s">
        <v>1742</v>
      </c>
      <c r="E350" s="10" t="s">
        <v>1738</v>
      </c>
      <c r="F350" s="10" t="s">
        <v>1743</v>
      </c>
      <c r="G350" s="10" t="s">
        <v>942</v>
      </c>
    </row>
    <row r="351" spans="1:7" ht="28.8" hidden="1" x14ac:dyDescent="0.3">
      <c r="A351" s="10">
        <v>350</v>
      </c>
      <c r="B351" s="10" t="s">
        <v>1737</v>
      </c>
      <c r="C351" s="10" t="s">
        <v>345</v>
      </c>
      <c r="D351" s="10" t="s">
        <v>1744</v>
      </c>
      <c r="E351" s="10" t="s">
        <v>1738</v>
      </c>
      <c r="F351" s="10" t="s">
        <v>1745</v>
      </c>
      <c r="G351" s="10" t="s">
        <v>943</v>
      </c>
    </row>
    <row r="352" spans="1:7" ht="28.8" hidden="1" x14ac:dyDescent="0.3">
      <c r="A352" s="10">
        <v>351</v>
      </c>
      <c r="B352" s="10" t="s">
        <v>1737</v>
      </c>
      <c r="C352" s="10" t="s">
        <v>346</v>
      </c>
      <c r="D352" s="10" t="s">
        <v>1746</v>
      </c>
      <c r="E352" s="10" t="s">
        <v>1738</v>
      </c>
      <c r="F352" s="10" t="s">
        <v>1747</v>
      </c>
      <c r="G352" s="10" t="s">
        <v>944</v>
      </c>
    </row>
    <row r="353" spans="1:7" ht="28.8" hidden="1" x14ac:dyDescent="0.3">
      <c r="A353" s="10">
        <v>352</v>
      </c>
      <c r="B353" s="10" t="s">
        <v>1737</v>
      </c>
      <c r="C353" s="10" t="s">
        <v>347</v>
      </c>
      <c r="D353" s="10" t="s">
        <v>1748</v>
      </c>
      <c r="E353" s="10" t="s">
        <v>1738</v>
      </c>
      <c r="F353" s="10" t="s">
        <v>1749</v>
      </c>
      <c r="G353" s="10" t="s">
        <v>945</v>
      </c>
    </row>
    <row r="354" spans="1:7" ht="28.8" hidden="1" x14ac:dyDescent="0.3">
      <c r="A354" s="10">
        <v>353</v>
      </c>
      <c r="B354" s="10" t="s">
        <v>1737</v>
      </c>
      <c r="C354" s="10" t="s">
        <v>348</v>
      </c>
      <c r="D354" s="10" t="s">
        <v>1750</v>
      </c>
      <c r="E354" s="10" t="s">
        <v>1738</v>
      </c>
      <c r="F354" s="10" t="s">
        <v>1751</v>
      </c>
      <c r="G354" s="10" t="s">
        <v>946</v>
      </c>
    </row>
    <row r="355" spans="1:7" ht="28.8" hidden="1" x14ac:dyDescent="0.3">
      <c r="A355" s="10">
        <v>354</v>
      </c>
      <c r="B355" s="10" t="s">
        <v>1737</v>
      </c>
      <c r="C355" s="10" t="s">
        <v>349</v>
      </c>
      <c r="D355" s="10" t="s">
        <v>1752</v>
      </c>
      <c r="E355" s="10" t="s">
        <v>1738</v>
      </c>
      <c r="F355" s="10" t="s">
        <v>1753</v>
      </c>
      <c r="G355" s="10" t="s">
        <v>947</v>
      </c>
    </row>
    <row r="356" spans="1:7" ht="28.8" hidden="1" x14ac:dyDescent="0.3">
      <c r="A356" s="10">
        <v>355</v>
      </c>
      <c r="B356" s="10" t="s">
        <v>1737</v>
      </c>
      <c r="C356" s="10" t="s">
        <v>350</v>
      </c>
      <c r="D356" s="10" t="s">
        <v>1754</v>
      </c>
      <c r="E356" s="10" t="s">
        <v>1738</v>
      </c>
      <c r="F356" s="10" t="s">
        <v>1755</v>
      </c>
      <c r="G356" s="10" t="s">
        <v>948</v>
      </c>
    </row>
    <row r="357" spans="1:7" ht="28.8" hidden="1" x14ac:dyDescent="0.3">
      <c r="A357" s="10">
        <v>356</v>
      </c>
      <c r="B357" s="10" t="s">
        <v>1737</v>
      </c>
      <c r="C357" s="10" t="s">
        <v>351</v>
      </c>
      <c r="D357" s="10" t="s">
        <v>1756</v>
      </c>
      <c r="E357" s="10" t="s">
        <v>1738</v>
      </c>
      <c r="F357" s="10" t="s">
        <v>1757</v>
      </c>
      <c r="G357" s="10" t="s">
        <v>949</v>
      </c>
    </row>
    <row r="358" spans="1:7" ht="28.8" hidden="1" x14ac:dyDescent="0.3">
      <c r="A358" s="10">
        <v>357</v>
      </c>
      <c r="B358" s="10" t="s">
        <v>1737</v>
      </c>
      <c r="C358" s="10" t="s">
        <v>352</v>
      </c>
      <c r="D358" s="10" t="s">
        <v>1758</v>
      </c>
      <c r="E358" s="10" t="s">
        <v>1738</v>
      </c>
      <c r="F358" s="10" t="s">
        <v>1759</v>
      </c>
      <c r="G358" s="10" t="s">
        <v>950</v>
      </c>
    </row>
    <row r="359" spans="1:7" ht="28.8" hidden="1" x14ac:dyDescent="0.3">
      <c r="A359" s="10">
        <v>358</v>
      </c>
      <c r="B359" s="10" t="s">
        <v>1737</v>
      </c>
      <c r="C359" s="10" t="s">
        <v>353</v>
      </c>
      <c r="D359" s="10" t="s">
        <v>1760</v>
      </c>
      <c r="E359" s="10" t="s">
        <v>1060</v>
      </c>
      <c r="F359" s="10" t="s">
        <v>1761</v>
      </c>
      <c r="G359" s="10" t="s">
        <v>951</v>
      </c>
    </row>
    <row r="360" spans="1:7" ht="28.8" hidden="1" x14ac:dyDescent="0.3">
      <c r="A360" s="10">
        <v>359</v>
      </c>
      <c r="B360" s="10" t="s">
        <v>1737</v>
      </c>
      <c r="C360" s="10" t="s">
        <v>354</v>
      </c>
      <c r="D360" s="10" t="s">
        <v>1762</v>
      </c>
      <c r="E360" s="10" t="s">
        <v>1060</v>
      </c>
      <c r="F360" s="10" t="s">
        <v>1763</v>
      </c>
      <c r="G360" s="10" t="s">
        <v>952</v>
      </c>
    </row>
    <row r="361" spans="1:7" ht="28.8" hidden="1" x14ac:dyDescent="0.3">
      <c r="A361" s="10">
        <v>360</v>
      </c>
      <c r="B361" s="10" t="s">
        <v>1737</v>
      </c>
      <c r="C361" s="10" t="s">
        <v>355</v>
      </c>
      <c r="D361" s="10" t="s">
        <v>1764</v>
      </c>
      <c r="E361" s="10" t="s">
        <v>1060</v>
      </c>
      <c r="F361" s="10" t="s">
        <v>1765</v>
      </c>
      <c r="G361" s="10" t="s">
        <v>953</v>
      </c>
    </row>
    <row r="362" spans="1:7" ht="28.8" hidden="1" x14ac:dyDescent="0.3">
      <c r="A362" s="10">
        <v>361</v>
      </c>
      <c r="B362" s="10" t="s">
        <v>1766</v>
      </c>
      <c r="C362" s="10" t="s">
        <v>356</v>
      </c>
      <c r="D362" s="10" t="s">
        <v>1767</v>
      </c>
      <c r="E362" s="10" t="s">
        <v>1762</v>
      </c>
      <c r="F362" s="10" t="s">
        <v>1768</v>
      </c>
      <c r="G362" s="10" t="s">
        <v>955</v>
      </c>
    </row>
    <row r="363" spans="1:7" ht="28.8" hidden="1" x14ac:dyDescent="0.3">
      <c r="A363" s="10">
        <v>362</v>
      </c>
      <c r="B363" s="10" t="s">
        <v>1766</v>
      </c>
      <c r="C363" s="10" t="s">
        <v>357</v>
      </c>
      <c r="D363" s="10" t="s">
        <v>1769</v>
      </c>
      <c r="E363" s="10" t="s">
        <v>1762</v>
      </c>
      <c r="F363" s="10" t="s">
        <v>1770</v>
      </c>
      <c r="G363" s="10" t="s">
        <v>956</v>
      </c>
    </row>
    <row r="364" spans="1:7" ht="28.8" hidden="1" x14ac:dyDescent="0.3">
      <c r="A364" s="10">
        <v>363</v>
      </c>
      <c r="B364" s="10" t="s">
        <v>1766</v>
      </c>
      <c r="C364" s="10" t="s">
        <v>358</v>
      </c>
      <c r="D364" s="10" t="s">
        <v>1771</v>
      </c>
      <c r="E364" s="10" t="s">
        <v>1762</v>
      </c>
      <c r="F364" s="10" t="s">
        <v>1772</v>
      </c>
      <c r="G364" s="10" t="s">
        <v>957</v>
      </c>
    </row>
    <row r="365" spans="1:7" ht="28.8" hidden="1" x14ac:dyDescent="0.3">
      <c r="A365" s="10">
        <v>364</v>
      </c>
      <c r="B365" s="10" t="s">
        <v>1766</v>
      </c>
      <c r="C365" s="10" t="s">
        <v>359</v>
      </c>
      <c r="D365" s="10" t="s">
        <v>1773</v>
      </c>
      <c r="E365" s="10" t="s">
        <v>1762</v>
      </c>
      <c r="F365" s="10" t="s">
        <v>1774</v>
      </c>
      <c r="G365" s="10" t="s">
        <v>958</v>
      </c>
    </row>
    <row r="366" spans="1:7" ht="28.8" hidden="1" x14ac:dyDescent="0.3">
      <c r="A366" s="10">
        <v>365</v>
      </c>
      <c r="B366" s="10" t="s">
        <v>1766</v>
      </c>
      <c r="C366" s="10" t="s">
        <v>360</v>
      </c>
      <c r="D366" s="10" t="s">
        <v>1775</v>
      </c>
      <c r="E366" s="10" t="s">
        <v>1762</v>
      </c>
      <c r="F366" s="10" t="s">
        <v>1776</v>
      </c>
      <c r="G366" s="10" t="s">
        <v>959</v>
      </c>
    </row>
    <row r="367" spans="1:7" ht="28.8" hidden="1" x14ac:dyDescent="0.3">
      <c r="A367" s="10">
        <v>366</v>
      </c>
      <c r="B367" s="10" t="s">
        <v>1766</v>
      </c>
      <c r="C367" s="10" t="s">
        <v>361</v>
      </c>
      <c r="D367" s="10" t="s">
        <v>1777</v>
      </c>
      <c r="E367" s="10" t="s">
        <v>1762</v>
      </c>
      <c r="F367" s="10" t="s">
        <v>1778</v>
      </c>
      <c r="G367" s="10" t="s">
        <v>960</v>
      </c>
    </row>
    <row r="368" spans="1:7" ht="28.8" hidden="1" x14ac:dyDescent="0.3">
      <c r="A368" s="10">
        <v>367</v>
      </c>
      <c r="B368" s="10" t="s">
        <v>1766</v>
      </c>
      <c r="C368" s="10" t="s">
        <v>362</v>
      </c>
      <c r="D368" s="10" t="s">
        <v>1779</v>
      </c>
      <c r="E368" s="10" t="s">
        <v>1762</v>
      </c>
      <c r="F368" s="10" t="s">
        <v>1780</v>
      </c>
      <c r="G368" s="10" t="s">
        <v>961</v>
      </c>
    </row>
    <row r="369" spans="1:7" ht="28.8" hidden="1" x14ac:dyDescent="0.3">
      <c r="A369" s="10">
        <v>368</v>
      </c>
      <c r="B369" s="10" t="s">
        <v>1766</v>
      </c>
      <c r="C369" s="10" t="s">
        <v>363</v>
      </c>
      <c r="D369" s="10" t="s">
        <v>1781</v>
      </c>
      <c r="E369" s="10" t="s">
        <v>1762</v>
      </c>
      <c r="F369" s="10" t="s">
        <v>1782</v>
      </c>
      <c r="G369" s="10" t="s">
        <v>962</v>
      </c>
    </row>
    <row r="370" spans="1:7" ht="28.8" hidden="1" x14ac:dyDescent="0.3">
      <c r="A370" s="10">
        <v>369</v>
      </c>
      <c r="B370" s="10" t="s">
        <v>1766</v>
      </c>
      <c r="C370" s="10" t="s">
        <v>364</v>
      </c>
      <c r="D370" s="10" t="s">
        <v>1783</v>
      </c>
      <c r="E370" s="10" t="s">
        <v>1762</v>
      </c>
      <c r="F370" s="10" t="s">
        <v>1784</v>
      </c>
      <c r="G370" s="10" t="s">
        <v>963</v>
      </c>
    </row>
    <row r="371" spans="1:7" ht="28.8" hidden="1" x14ac:dyDescent="0.3">
      <c r="A371" s="10">
        <v>370</v>
      </c>
      <c r="B371" s="10" t="s">
        <v>1766</v>
      </c>
      <c r="C371" s="10" t="s">
        <v>365</v>
      </c>
      <c r="D371" s="10" t="s">
        <v>1785</v>
      </c>
      <c r="E371" s="10" t="s">
        <v>1762</v>
      </c>
      <c r="F371" s="10" t="s">
        <v>1786</v>
      </c>
      <c r="G371" s="10" t="s">
        <v>964</v>
      </c>
    </row>
    <row r="372" spans="1:7" ht="28.8" hidden="1" x14ac:dyDescent="0.3">
      <c r="A372" s="10">
        <v>371</v>
      </c>
      <c r="B372" s="10" t="s">
        <v>1766</v>
      </c>
      <c r="C372" s="10" t="s">
        <v>366</v>
      </c>
      <c r="D372" s="10" t="s">
        <v>1787</v>
      </c>
      <c r="E372" s="10" t="s">
        <v>1762</v>
      </c>
      <c r="F372" s="10" t="s">
        <v>1788</v>
      </c>
      <c r="G372" s="10" t="s">
        <v>965</v>
      </c>
    </row>
    <row r="373" spans="1:7" ht="28.8" hidden="1" x14ac:dyDescent="0.3">
      <c r="A373" s="10">
        <v>372</v>
      </c>
      <c r="B373" s="10" t="s">
        <v>1766</v>
      </c>
      <c r="C373" s="10" t="s">
        <v>367</v>
      </c>
      <c r="D373" s="10" t="s">
        <v>1789</v>
      </c>
      <c r="E373" s="10" t="s">
        <v>1762</v>
      </c>
      <c r="F373" s="10" t="s">
        <v>1790</v>
      </c>
      <c r="G373" s="10" t="s">
        <v>966</v>
      </c>
    </row>
    <row r="374" spans="1:7" ht="28.8" hidden="1" x14ac:dyDescent="0.3">
      <c r="A374" s="10">
        <v>373</v>
      </c>
      <c r="B374" s="10" t="s">
        <v>1766</v>
      </c>
      <c r="C374" s="10" t="s">
        <v>368</v>
      </c>
      <c r="D374" s="10" t="s">
        <v>1791</v>
      </c>
      <c r="E374" s="10" t="s">
        <v>1762</v>
      </c>
      <c r="F374" s="10" t="s">
        <v>1792</v>
      </c>
      <c r="G374" s="10" t="s">
        <v>967</v>
      </c>
    </row>
    <row r="375" spans="1:7" ht="28.8" hidden="1" x14ac:dyDescent="0.3">
      <c r="A375" s="10">
        <v>374</v>
      </c>
      <c r="B375" s="10" t="s">
        <v>1766</v>
      </c>
      <c r="C375" s="10" t="s">
        <v>369</v>
      </c>
      <c r="D375" s="10" t="s">
        <v>1793</v>
      </c>
      <c r="E375" s="10" t="s">
        <v>1762</v>
      </c>
      <c r="F375" s="10" t="s">
        <v>1794</v>
      </c>
      <c r="G375" s="10" t="s">
        <v>968</v>
      </c>
    </row>
    <row r="376" spans="1:7" ht="28.8" hidden="1" x14ac:dyDescent="0.3">
      <c r="A376" s="10">
        <v>375</v>
      </c>
      <c r="B376" s="10" t="s">
        <v>1766</v>
      </c>
      <c r="C376" s="10" t="s">
        <v>370</v>
      </c>
      <c r="D376" s="10" t="s">
        <v>1795</v>
      </c>
      <c r="E376" s="10" t="s">
        <v>1762</v>
      </c>
      <c r="F376" s="10" t="s">
        <v>1796</v>
      </c>
      <c r="G376" s="10" t="s">
        <v>969</v>
      </c>
    </row>
    <row r="377" spans="1:7" ht="28.8" hidden="1" x14ac:dyDescent="0.3">
      <c r="A377" s="10">
        <v>376</v>
      </c>
      <c r="B377" s="10" t="s">
        <v>1766</v>
      </c>
      <c r="C377" s="10" t="s">
        <v>371</v>
      </c>
      <c r="D377" s="10" t="s">
        <v>1797</v>
      </c>
      <c r="E377" s="10" t="s">
        <v>1762</v>
      </c>
      <c r="F377" s="10" t="s">
        <v>1798</v>
      </c>
      <c r="G377" s="10" t="s">
        <v>970</v>
      </c>
    </row>
    <row r="378" spans="1:7" ht="28.8" hidden="1" x14ac:dyDescent="0.3">
      <c r="A378" s="10">
        <v>377</v>
      </c>
      <c r="B378" s="10" t="s">
        <v>1766</v>
      </c>
      <c r="C378" s="10" t="s">
        <v>372</v>
      </c>
      <c r="D378" s="10" t="s">
        <v>1799</v>
      </c>
      <c r="E378" s="10" t="s">
        <v>1762</v>
      </c>
      <c r="F378" s="10" t="s">
        <v>1800</v>
      </c>
      <c r="G378" s="10" t="s">
        <v>971</v>
      </c>
    </row>
    <row r="379" spans="1:7" ht="28.8" hidden="1" x14ac:dyDescent="0.3">
      <c r="A379" s="10">
        <v>378</v>
      </c>
      <c r="B379" s="10" t="s">
        <v>1766</v>
      </c>
      <c r="C379" s="10" t="s">
        <v>373</v>
      </c>
      <c r="D379" s="10" t="s">
        <v>1801</v>
      </c>
      <c r="E379" s="10" t="s">
        <v>1762</v>
      </c>
      <c r="F379" s="10" t="s">
        <v>1802</v>
      </c>
      <c r="G379" s="10" t="s">
        <v>972</v>
      </c>
    </row>
    <row r="380" spans="1:7" ht="28.8" hidden="1" x14ac:dyDescent="0.3">
      <c r="A380" s="10">
        <v>379</v>
      </c>
      <c r="B380" s="10" t="s">
        <v>1766</v>
      </c>
      <c r="C380" s="10" t="s">
        <v>374</v>
      </c>
      <c r="D380" s="10" t="s">
        <v>1803</v>
      </c>
      <c r="E380" s="10" t="s">
        <v>1762</v>
      </c>
      <c r="F380" s="10" t="s">
        <v>1804</v>
      </c>
      <c r="G380" s="10" t="s">
        <v>973</v>
      </c>
    </row>
    <row r="381" spans="1:7" ht="28.8" hidden="1" x14ac:dyDescent="0.3">
      <c r="A381" s="10">
        <v>380</v>
      </c>
      <c r="B381" s="10" t="s">
        <v>1766</v>
      </c>
      <c r="C381" s="10" t="s">
        <v>375</v>
      </c>
      <c r="D381" s="10" t="s">
        <v>1805</v>
      </c>
      <c r="E381" s="10" t="s">
        <v>1762</v>
      </c>
      <c r="F381" s="10" t="s">
        <v>1806</v>
      </c>
      <c r="G381" s="10" t="s">
        <v>974</v>
      </c>
    </row>
    <row r="382" spans="1:7" ht="28.8" hidden="1" x14ac:dyDescent="0.3">
      <c r="A382" s="10">
        <v>381</v>
      </c>
      <c r="B382" s="10" t="s">
        <v>1766</v>
      </c>
      <c r="C382" s="10" t="s">
        <v>376</v>
      </c>
      <c r="D382" s="10" t="s">
        <v>1807</v>
      </c>
      <c r="E382" s="10" t="s">
        <v>1762</v>
      </c>
      <c r="F382" s="10" t="s">
        <v>1808</v>
      </c>
      <c r="G382" s="10" t="s">
        <v>975</v>
      </c>
    </row>
    <row r="383" spans="1:7" ht="28.8" hidden="1" x14ac:dyDescent="0.3">
      <c r="A383" s="10">
        <v>382</v>
      </c>
      <c r="B383" s="10" t="s">
        <v>1766</v>
      </c>
      <c r="C383" s="10" t="s">
        <v>377</v>
      </c>
      <c r="D383" s="10" t="s">
        <v>1809</v>
      </c>
      <c r="E383" s="10" t="s">
        <v>1762</v>
      </c>
      <c r="F383" s="10" t="s">
        <v>1810</v>
      </c>
      <c r="G383" s="10" t="s">
        <v>976</v>
      </c>
    </row>
    <row r="384" spans="1:7" ht="28.8" hidden="1" x14ac:dyDescent="0.3">
      <c r="A384" s="10">
        <v>383</v>
      </c>
      <c r="B384" s="10" t="s">
        <v>1766</v>
      </c>
      <c r="C384" s="10" t="s">
        <v>378</v>
      </c>
      <c r="D384" s="10" t="s">
        <v>1811</v>
      </c>
      <c r="E384" s="10" t="s">
        <v>1762</v>
      </c>
      <c r="F384" s="10" t="s">
        <v>1812</v>
      </c>
      <c r="G384" s="10" t="s">
        <v>977</v>
      </c>
    </row>
    <row r="385" spans="1:7" ht="28.8" hidden="1" x14ac:dyDescent="0.3">
      <c r="A385" s="10">
        <v>384</v>
      </c>
      <c r="B385" s="10" t="s">
        <v>1766</v>
      </c>
      <c r="C385" s="10" t="s">
        <v>379</v>
      </c>
      <c r="D385" s="10" t="s">
        <v>1813</v>
      </c>
      <c r="E385" s="10" t="s">
        <v>1762</v>
      </c>
      <c r="F385" s="10" t="s">
        <v>1814</v>
      </c>
      <c r="G385" s="10" t="s">
        <v>978</v>
      </c>
    </row>
    <row r="386" spans="1:7" ht="28.8" hidden="1" x14ac:dyDescent="0.3">
      <c r="A386" s="10">
        <v>385</v>
      </c>
      <c r="B386" s="10" t="s">
        <v>1766</v>
      </c>
      <c r="C386" s="10" t="s">
        <v>380</v>
      </c>
      <c r="D386" s="10" t="s">
        <v>1815</v>
      </c>
      <c r="E386" s="10" t="s">
        <v>1762</v>
      </c>
      <c r="F386" s="10" t="s">
        <v>1816</v>
      </c>
      <c r="G386" s="10" t="s">
        <v>979</v>
      </c>
    </row>
    <row r="387" spans="1:7" ht="28.8" hidden="1" x14ac:dyDescent="0.3">
      <c r="A387" s="10">
        <v>386</v>
      </c>
      <c r="B387" s="10" t="s">
        <v>1766</v>
      </c>
      <c r="C387" s="10" t="s">
        <v>381</v>
      </c>
      <c r="D387" s="10" t="s">
        <v>1817</v>
      </c>
      <c r="E387" s="10" t="s">
        <v>1762</v>
      </c>
      <c r="F387" s="10" t="s">
        <v>1818</v>
      </c>
      <c r="G387" s="10" t="s">
        <v>980</v>
      </c>
    </row>
    <row r="388" spans="1:7" ht="28.8" hidden="1" x14ac:dyDescent="0.3">
      <c r="A388" s="10">
        <v>387</v>
      </c>
      <c r="B388" s="10" t="s">
        <v>1766</v>
      </c>
      <c r="C388" s="10" t="s">
        <v>382</v>
      </c>
      <c r="D388" s="10" t="s">
        <v>1819</v>
      </c>
      <c r="E388" s="10" t="s">
        <v>1762</v>
      </c>
      <c r="F388" s="10" t="s">
        <v>1820</v>
      </c>
      <c r="G388" s="10" t="s">
        <v>981</v>
      </c>
    </row>
    <row r="389" spans="1:7" ht="28.8" hidden="1" x14ac:dyDescent="0.3">
      <c r="A389" s="10">
        <v>388</v>
      </c>
      <c r="B389" s="10" t="s">
        <v>1766</v>
      </c>
      <c r="C389" s="10" t="s">
        <v>383</v>
      </c>
      <c r="D389" s="10" t="s">
        <v>1821</v>
      </c>
      <c r="E389" s="10" t="s">
        <v>1762</v>
      </c>
      <c r="F389" s="10" t="s">
        <v>1822</v>
      </c>
      <c r="G389" s="10" t="s">
        <v>982</v>
      </c>
    </row>
    <row r="390" spans="1:7" ht="28.8" hidden="1" x14ac:dyDescent="0.3">
      <c r="A390" s="10">
        <v>389</v>
      </c>
      <c r="B390" s="10" t="s">
        <v>1766</v>
      </c>
      <c r="C390" s="10" t="s">
        <v>384</v>
      </c>
      <c r="D390" s="10" t="s">
        <v>1823</v>
      </c>
      <c r="E390" s="10" t="s">
        <v>1762</v>
      </c>
      <c r="F390" s="10" t="s">
        <v>1824</v>
      </c>
      <c r="G390" s="10" t="s">
        <v>983</v>
      </c>
    </row>
    <row r="391" spans="1:7" ht="28.8" hidden="1" x14ac:dyDescent="0.3">
      <c r="A391" s="10">
        <v>390</v>
      </c>
      <c r="B391" s="10" t="s">
        <v>1766</v>
      </c>
      <c r="C391" s="10" t="s">
        <v>385</v>
      </c>
      <c r="D391" s="10" t="s">
        <v>1825</v>
      </c>
      <c r="E391" s="10" t="s">
        <v>1762</v>
      </c>
      <c r="F391" s="10" t="s">
        <v>1826</v>
      </c>
      <c r="G391" s="10" t="s">
        <v>984</v>
      </c>
    </row>
    <row r="392" spans="1:7" ht="28.8" hidden="1" x14ac:dyDescent="0.3">
      <c r="A392" s="10">
        <v>391</v>
      </c>
      <c r="B392" s="10" t="s">
        <v>1766</v>
      </c>
      <c r="C392" s="10" t="s">
        <v>386</v>
      </c>
      <c r="D392" s="10" t="s">
        <v>1827</v>
      </c>
      <c r="E392" s="10" t="s">
        <v>1762</v>
      </c>
      <c r="F392" s="10" t="s">
        <v>1828</v>
      </c>
      <c r="G392" s="10" t="s">
        <v>985</v>
      </c>
    </row>
    <row r="393" spans="1:7" ht="28.8" hidden="1" x14ac:dyDescent="0.3">
      <c r="A393" s="10">
        <v>392</v>
      </c>
      <c r="B393" s="10" t="s">
        <v>1766</v>
      </c>
      <c r="C393" s="10" t="s">
        <v>387</v>
      </c>
      <c r="D393" s="10" t="s">
        <v>1829</v>
      </c>
      <c r="E393" s="10" t="s">
        <v>1762</v>
      </c>
      <c r="F393" s="10" t="s">
        <v>1830</v>
      </c>
      <c r="G393" s="10" t="s">
        <v>986</v>
      </c>
    </row>
    <row r="394" spans="1:7" ht="28.8" hidden="1" x14ac:dyDescent="0.3">
      <c r="A394" s="10">
        <v>393</v>
      </c>
      <c r="B394" s="10" t="s">
        <v>1766</v>
      </c>
      <c r="C394" s="10" t="s">
        <v>388</v>
      </c>
      <c r="D394" s="10" t="s">
        <v>1831</v>
      </c>
      <c r="E394" s="10" t="s">
        <v>1762</v>
      </c>
      <c r="F394" s="10" t="s">
        <v>1832</v>
      </c>
      <c r="G394" s="10" t="s">
        <v>987</v>
      </c>
    </row>
    <row r="395" spans="1:7" ht="28.8" hidden="1" x14ac:dyDescent="0.3">
      <c r="A395" s="10">
        <v>394</v>
      </c>
      <c r="B395" s="10" t="s">
        <v>1766</v>
      </c>
      <c r="C395" s="10" t="s">
        <v>389</v>
      </c>
      <c r="D395" s="10" t="s">
        <v>1833</v>
      </c>
      <c r="E395" s="10" t="s">
        <v>1762</v>
      </c>
      <c r="F395" s="10" t="s">
        <v>1834</v>
      </c>
      <c r="G395" s="10" t="s">
        <v>988</v>
      </c>
    </row>
    <row r="396" spans="1:7" ht="28.8" hidden="1" x14ac:dyDescent="0.3">
      <c r="A396" s="10">
        <v>395</v>
      </c>
      <c r="B396" s="10" t="s">
        <v>1766</v>
      </c>
      <c r="C396" s="10" t="s">
        <v>390</v>
      </c>
      <c r="D396" s="10" t="s">
        <v>1835</v>
      </c>
      <c r="E396" s="10" t="s">
        <v>1762</v>
      </c>
      <c r="F396" s="10" t="s">
        <v>1836</v>
      </c>
      <c r="G396" s="10" t="s">
        <v>989</v>
      </c>
    </row>
    <row r="397" spans="1:7" ht="28.8" hidden="1" x14ac:dyDescent="0.3">
      <c r="A397" s="10">
        <v>396</v>
      </c>
      <c r="B397" s="10" t="s">
        <v>1766</v>
      </c>
      <c r="C397" s="10" t="s">
        <v>391</v>
      </c>
      <c r="D397" s="10" t="s">
        <v>1837</v>
      </c>
      <c r="E397" s="10" t="s">
        <v>1762</v>
      </c>
      <c r="F397" s="10" t="s">
        <v>1838</v>
      </c>
      <c r="G397" s="10" t="s">
        <v>990</v>
      </c>
    </row>
    <row r="398" spans="1:7" ht="28.8" hidden="1" x14ac:dyDescent="0.3">
      <c r="A398" s="10">
        <v>397</v>
      </c>
      <c r="B398" s="10" t="s">
        <v>1766</v>
      </c>
      <c r="C398" s="10" t="s">
        <v>392</v>
      </c>
      <c r="D398" s="10" t="s">
        <v>1839</v>
      </c>
      <c r="E398" s="10" t="s">
        <v>1762</v>
      </c>
      <c r="F398" s="10" t="s">
        <v>1840</v>
      </c>
      <c r="G398" s="10" t="s">
        <v>991</v>
      </c>
    </row>
    <row r="399" spans="1:7" ht="28.8" hidden="1" x14ac:dyDescent="0.3">
      <c r="A399" s="10">
        <v>398</v>
      </c>
      <c r="B399" s="10" t="s">
        <v>1766</v>
      </c>
      <c r="C399" s="10" t="s">
        <v>393</v>
      </c>
      <c r="D399" s="10" t="s">
        <v>1841</v>
      </c>
      <c r="E399" s="10" t="s">
        <v>1762</v>
      </c>
      <c r="F399" s="10" t="s">
        <v>1842</v>
      </c>
      <c r="G399" s="10" t="s">
        <v>992</v>
      </c>
    </row>
    <row r="400" spans="1:7" ht="28.8" hidden="1" x14ac:dyDescent="0.3">
      <c r="A400" s="10">
        <v>399</v>
      </c>
      <c r="B400" s="10" t="s">
        <v>1766</v>
      </c>
      <c r="C400" s="10" t="s">
        <v>394</v>
      </c>
      <c r="D400" s="10" t="s">
        <v>1843</v>
      </c>
      <c r="E400" s="10" t="s">
        <v>1762</v>
      </c>
      <c r="F400" s="10" t="s">
        <v>1844</v>
      </c>
      <c r="G400" s="10" t="s">
        <v>993</v>
      </c>
    </row>
    <row r="401" spans="1:7" ht="28.8" hidden="1" x14ac:dyDescent="0.3">
      <c r="A401" s="10">
        <v>400</v>
      </c>
      <c r="B401" s="10" t="s">
        <v>1845</v>
      </c>
      <c r="C401" s="10" t="s">
        <v>1846</v>
      </c>
      <c r="D401" s="10" t="s">
        <v>1847</v>
      </c>
      <c r="E401" s="10" t="s">
        <v>1060</v>
      </c>
      <c r="F401" s="10" t="s">
        <v>1848</v>
      </c>
      <c r="G401" s="10" t="s">
        <v>1849</v>
      </c>
    </row>
    <row r="402" spans="1:7" ht="28.8" hidden="1" x14ac:dyDescent="0.3">
      <c r="A402" s="10">
        <v>401</v>
      </c>
      <c r="B402" s="10" t="s">
        <v>1850</v>
      </c>
      <c r="C402" s="10" t="s">
        <v>434</v>
      </c>
      <c r="D402" s="10" t="s">
        <v>1851</v>
      </c>
      <c r="E402" s="10" t="s">
        <v>1060</v>
      </c>
      <c r="F402" s="10" t="s">
        <v>1852</v>
      </c>
      <c r="G402" s="10" t="s">
        <v>995</v>
      </c>
    </row>
    <row r="403" spans="1:7" ht="28.8" hidden="1" x14ac:dyDescent="0.3">
      <c r="A403" s="10">
        <v>402</v>
      </c>
      <c r="B403" s="10" t="s">
        <v>1850</v>
      </c>
      <c r="C403" s="10" t="s">
        <v>435</v>
      </c>
      <c r="D403" s="10" t="s">
        <v>1853</v>
      </c>
      <c r="E403" s="10" t="s">
        <v>1060</v>
      </c>
      <c r="F403" s="10" t="s">
        <v>1854</v>
      </c>
      <c r="G403" s="10" t="s">
        <v>996</v>
      </c>
    </row>
    <row r="404" spans="1:7" ht="28.8" hidden="1" x14ac:dyDescent="0.3">
      <c r="A404" s="10">
        <v>403</v>
      </c>
      <c r="B404" s="10" t="s">
        <v>1850</v>
      </c>
      <c r="C404" s="10" t="s">
        <v>436</v>
      </c>
      <c r="D404" s="10" t="s">
        <v>1855</v>
      </c>
      <c r="E404" s="10" t="s">
        <v>1060</v>
      </c>
      <c r="F404" s="10" t="s">
        <v>1856</v>
      </c>
      <c r="G404" s="10" t="s">
        <v>997</v>
      </c>
    </row>
    <row r="405" spans="1:7" ht="28.8" hidden="1" x14ac:dyDescent="0.3">
      <c r="A405" s="10">
        <v>404</v>
      </c>
      <c r="B405" s="10" t="s">
        <v>1857</v>
      </c>
      <c r="C405" s="10" t="s">
        <v>437</v>
      </c>
      <c r="D405" s="10" t="s">
        <v>1858</v>
      </c>
      <c r="E405" s="10" t="s">
        <v>1062</v>
      </c>
      <c r="F405" s="10" t="s">
        <v>1859</v>
      </c>
      <c r="G405" s="10" t="s">
        <v>999</v>
      </c>
    </row>
    <row r="406" spans="1:7" ht="28.8" hidden="1" x14ac:dyDescent="0.3">
      <c r="A406" s="10">
        <v>405</v>
      </c>
      <c r="B406" s="10" t="s">
        <v>1857</v>
      </c>
      <c r="C406" s="10" t="s">
        <v>184</v>
      </c>
      <c r="D406" s="10" t="s">
        <v>1525</v>
      </c>
      <c r="E406" s="10" t="s">
        <v>1062</v>
      </c>
      <c r="F406" s="10" t="s">
        <v>1860</v>
      </c>
      <c r="G406" s="10" t="s">
        <v>1861</v>
      </c>
    </row>
    <row r="407" spans="1:7" ht="28.8" hidden="1" x14ac:dyDescent="0.3">
      <c r="A407" s="10">
        <v>406</v>
      </c>
      <c r="B407" s="10" t="s">
        <v>1857</v>
      </c>
      <c r="C407" s="10" t="s">
        <v>1862</v>
      </c>
      <c r="D407" s="10" t="s">
        <v>1863</v>
      </c>
      <c r="E407" s="10" t="s">
        <v>1525</v>
      </c>
      <c r="F407" s="10" t="s">
        <v>1864</v>
      </c>
      <c r="G407" s="10" t="s">
        <v>1865</v>
      </c>
    </row>
    <row r="408" spans="1:7" ht="28.8" hidden="1" x14ac:dyDescent="0.3">
      <c r="A408" s="10">
        <v>407</v>
      </c>
      <c r="B408" s="10" t="s">
        <v>1866</v>
      </c>
      <c r="C408" s="10" t="s">
        <v>189</v>
      </c>
      <c r="D408" s="10" t="s">
        <v>1867</v>
      </c>
      <c r="E408" s="10" t="s">
        <v>1062</v>
      </c>
      <c r="F408" s="10" t="s">
        <v>1868</v>
      </c>
      <c r="G408" s="10" t="s">
        <v>1001</v>
      </c>
    </row>
    <row r="409" spans="1:7" ht="28.8" hidden="1" x14ac:dyDescent="0.3">
      <c r="A409" s="10">
        <v>408</v>
      </c>
      <c r="B409" s="10" t="s">
        <v>1869</v>
      </c>
      <c r="C409" s="10" t="s">
        <v>190</v>
      </c>
      <c r="D409" s="10" t="s">
        <v>1870</v>
      </c>
      <c r="E409" s="10" t="s">
        <v>1871</v>
      </c>
      <c r="F409" s="10" t="s">
        <v>1872</v>
      </c>
      <c r="G409" s="10" t="s">
        <v>1003</v>
      </c>
    </row>
    <row r="410" spans="1:7" ht="28.8" hidden="1" x14ac:dyDescent="0.3">
      <c r="A410" s="10">
        <v>409</v>
      </c>
      <c r="B410" s="10" t="s">
        <v>1869</v>
      </c>
      <c r="C410" s="10" t="s">
        <v>191</v>
      </c>
      <c r="D410" s="10" t="s">
        <v>1873</v>
      </c>
      <c r="E410" s="10" t="s">
        <v>1871</v>
      </c>
      <c r="F410" s="10" t="s">
        <v>1874</v>
      </c>
      <c r="G410" s="10" t="s">
        <v>1004</v>
      </c>
    </row>
    <row r="411" spans="1:7" ht="28.8" hidden="1" x14ac:dyDescent="0.3">
      <c r="A411" s="10">
        <v>410</v>
      </c>
      <c r="B411" s="10" t="s">
        <v>1869</v>
      </c>
      <c r="C411" s="10" t="s">
        <v>192</v>
      </c>
      <c r="D411" s="10" t="s">
        <v>1871</v>
      </c>
      <c r="E411" s="10" t="s">
        <v>1060</v>
      </c>
      <c r="F411" s="10" t="s">
        <v>1875</v>
      </c>
      <c r="G411" s="10" t="s">
        <v>1005</v>
      </c>
    </row>
    <row r="412" spans="1:7" ht="28.8" hidden="1" x14ac:dyDescent="0.3">
      <c r="A412" s="10">
        <v>411</v>
      </c>
      <c r="B412" s="10" t="s">
        <v>1869</v>
      </c>
      <c r="C412" s="10" t="s">
        <v>193</v>
      </c>
      <c r="D412" s="10" t="s">
        <v>1876</v>
      </c>
      <c r="E412" s="10" t="s">
        <v>1871</v>
      </c>
      <c r="F412" s="10" t="s">
        <v>1877</v>
      </c>
      <c r="G412" s="10" t="s">
        <v>1006</v>
      </c>
    </row>
    <row r="413" spans="1:7" ht="28.8" hidden="1" x14ac:dyDescent="0.3">
      <c r="A413" s="10">
        <v>412</v>
      </c>
      <c r="B413" s="10" t="s">
        <v>1869</v>
      </c>
      <c r="C413" s="10" t="s">
        <v>194</v>
      </c>
      <c r="D413" s="10" t="s">
        <v>1878</v>
      </c>
      <c r="E413" s="10" t="s">
        <v>1871</v>
      </c>
      <c r="F413" s="10" t="s">
        <v>1879</v>
      </c>
      <c r="G413" s="10" t="s">
        <v>1007</v>
      </c>
    </row>
    <row r="414" spans="1:7" ht="28.8" hidden="1" x14ac:dyDescent="0.3">
      <c r="A414" s="10">
        <v>413</v>
      </c>
      <c r="B414" s="10" t="s">
        <v>1869</v>
      </c>
      <c r="C414" s="10" t="s">
        <v>195</v>
      </c>
      <c r="D414" s="10" t="s">
        <v>1880</v>
      </c>
      <c r="E414" s="10" t="s">
        <v>1060</v>
      </c>
      <c r="F414" s="10" t="s">
        <v>1881</v>
      </c>
      <c r="G414" s="10" t="s">
        <v>1008</v>
      </c>
    </row>
    <row r="415" spans="1:7" ht="28.8" hidden="1" x14ac:dyDescent="0.3">
      <c r="A415" s="10">
        <v>414</v>
      </c>
      <c r="B415" s="10" t="s">
        <v>1869</v>
      </c>
      <c r="C415" s="10" t="s">
        <v>196</v>
      </c>
      <c r="D415" s="10" t="s">
        <v>1882</v>
      </c>
      <c r="E415" s="10" t="s">
        <v>1060</v>
      </c>
      <c r="F415" s="10" t="s">
        <v>1883</v>
      </c>
      <c r="G415" s="10" t="s">
        <v>1009</v>
      </c>
    </row>
    <row r="416" spans="1:7" ht="28.8" hidden="1" x14ac:dyDescent="0.3">
      <c r="A416" s="10">
        <v>415</v>
      </c>
      <c r="B416" s="10" t="s">
        <v>1884</v>
      </c>
      <c r="C416" s="10" t="s">
        <v>199</v>
      </c>
      <c r="D416" s="10" t="s">
        <v>1885</v>
      </c>
      <c r="E416" s="10" t="s">
        <v>1058</v>
      </c>
      <c r="F416" s="10" t="s">
        <v>1886</v>
      </c>
      <c r="G416" s="10" t="s">
        <v>1011</v>
      </c>
    </row>
    <row r="417" spans="1:7" ht="43.2" x14ac:dyDescent="0.3">
      <c r="A417" s="10">
        <v>416</v>
      </c>
      <c r="B417" s="10" t="s">
        <v>1884</v>
      </c>
      <c r="C417" s="10" t="s">
        <v>200</v>
      </c>
      <c r="D417" s="10" t="s">
        <v>1887</v>
      </c>
      <c r="E417" s="10" t="s">
        <v>1885</v>
      </c>
      <c r="F417" s="10" t="s">
        <v>1888</v>
      </c>
      <c r="G417" s="10" t="s">
        <v>1012</v>
      </c>
    </row>
    <row r="418" spans="1:7" ht="28.8" x14ac:dyDescent="0.3">
      <c r="A418" s="10">
        <v>417</v>
      </c>
      <c r="B418" s="10" t="s">
        <v>1884</v>
      </c>
      <c r="C418" s="10" t="s">
        <v>201</v>
      </c>
      <c r="D418" s="10" t="s">
        <v>1889</v>
      </c>
      <c r="E418" s="10" t="s">
        <v>1885</v>
      </c>
      <c r="F418" s="10" t="s">
        <v>1890</v>
      </c>
      <c r="G418" s="10" t="s">
        <v>1013</v>
      </c>
    </row>
    <row r="419" spans="1:7" ht="28.8" x14ac:dyDescent="0.3">
      <c r="A419" s="10">
        <v>418</v>
      </c>
      <c r="B419" s="10" t="s">
        <v>1884</v>
      </c>
      <c r="C419" s="10" t="s">
        <v>202</v>
      </c>
      <c r="D419" s="10" t="s">
        <v>1891</v>
      </c>
      <c r="E419" s="10" t="s">
        <v>1885</v>
      </c>
      <c r="F419" s="10" t="s">
        <v>1892</v>
      </c>
      <c r="G419" s="10" t="s">
        <v>1014</v>
      </c>
    </row>
    <row r="420" spans="1:7" ht="28.8" x14ac:dyDescent="0.3">
      <c r="A420" s="10">
        <v>419</v>
      </c>
      <c r="B420" s="10" t="s">
        <v>1884</v>
      </c>
      <c r="C420" s="10" t="s">
        <v>203</v>
      </c>
      <c r="D420" s="10" t="s">
        <v>1893</v>
      </c>
      <c r="E420" s="10" t="s">
        <v>1885</v>
      </c>
      <c r="F420" s="10" t="s">
        <v>1894</v>
      </c>
      <c r="G420" s="10" t="s">
        <v>1015</v>
      </c>
    </row>
    <row r="421" spans="1:7" ht="28.8" x14ac:dyDescent="0.3">
      <c r="A421" s="10">
        <v>420</v>
      </c>
      <c r="B421" s="10" t="s">
        <v>1884</v>
      </c>
      <c r="C421" s="10" t="s">
        <v>204</v>
      </c>
      <c r="D421" s="10" t="s">
        <v>1895</v>
      </c>
      <c r="E421" s="10" t="s">
        <v>1885</v>
      </c>
      <c r="F421" s="10" t="s">
        <v>1896</v>
      </c>
      <c r="G421" s="10" t="s">
        <v>1016</v>
      </c>
    </row>
    <row r="422" spans="1:7" ht="28.8" x14ac:dyDescent="0.3">
      <c r="A422" s="10">
        <v>421</v>
      </c>
      <c r="B422" s="10" t="s">
        <v>1884</v>
      </c>
      <c r="C422" s="10" t="s">
        <v>205</v>
      </c>
      <c r="D422" s="10" t="s">
        <v>1897</v>
      </c>
      <c r="E422" s="10" t="s">
        <v>1885</v>
      </c>
      <c r="F422" s="10" t="s">
        <v>1898</v>
      </c>
      <c r="G422" s="10" t="s">
        <v>1017</v>
      </c>
    </row>
    <row r="423" spans="1:7" ht="28.8" hidden="1" x14ac:dyDescent="0.3">
      <c r="A423" s="10">
        <v>422</v>
      </c>
      <c r="B423" s="10" t="s">
        <v>1899</v>
      </c>
      <c r="C423" s="10" t="s">
        <v>395</v>
      </c>
      <c r="D423" s="10" t="s">
        <v>1900</v>
      </c>
      <c r="E423" s="10" t="s">
        <v>1901</v>
      </c>
      <c r="F423" s="10" t="s">
        <v>1902</v>
      </c>
      <c r="G423" s="10" t="s">
        <v>1019</v>
      </c>
    </row>
    <row r="424" spans="1:7" ht="28.8" hidden="1" x14ac:dyDescent="0.3">
      <c r="A424" s="10">
        <v>423</v>
      </c>
      <c r="B424" s="10" t="s">
        <v>1899</v>
      </c>
      <c r="C424" s="10" t="s">
        <v>396</v>
      </c>
      <c r="D424" s="10" t="s">
        <v>1903</v>
      </c>
      <c r="E424" s="10" t="s">
        <v>1901</v>
      </c>
      <c r="F424" s="10" t="s">
        <v>1904</v>
      </c>
      <c r="G424" s="10" t="s">
        <v>1020</v>
      </c>
    </row>
    <row r="425" spans="1:7" ht="28.8" hidden="1" x14ac:dyDescent="0.3">
      <c r="A425" s="10">
        <v>424</v>
      </c>
      <c r="B425" s="10" t="s">
        <v>1899</v>
      </c>
      <c r="C425" s="10" t="s">
        <v>397</v>
      </c>
      <c r="D425" s="10" t="s">
        <v>1905</v>
      </c>
      <c r="E425" s="10" t="s">
        <v>1901</v>
      </c>
      <c r="F425" s="10" t="s">
        <v>1906</v>
      </c>
      <c r="G425" s="10" t="s">
        <v>1021</v>
      </c>
    </row>
    <row r="426" spans="1:7" ht="28.8" hidden="1" x14ac:dyDescent="0.3">
      <c r="A426" s="10">
        <v>425</v>
      </c>
      <c r="B426" s="10" t="s">
        <v>1899</v>
      </c>
      <c r="C426" s="10" t="s">
        <v>398</v>
      </c>
      <c r="D426" s="10" t="s">
        <v>1907</v>
      </c>
      <c r="E426" s="10" t="s">
        <v>1901</v>
      </c>
      <c r="F426" s="10" t="s">
        <v>1908</v>
      </c>
      <c r="G426" s="10" t="s">
        <v>1022</v>
      </c>
    </row>
    <row r="427" spans="1:7" ht="28.8" hidden="1" x14ac:dyDescent="0.3">
      <c r="A427" s="10">
        <v>426</v>
      </c>
      <c r="B427" s="10" t="s">
        <v>1899</v>
      </c>
      <c r="C427" s="10" t="s">
        <v>399</v>
      </c>
      <c r="D427" s="10" t="s">
        <v>1909</v>
      </c>
      <c r="E427" s="10" t="s">
        <v>1901</v>
      </c>
      <c r="F427" s="10" t="s">
        <v>1910</v>
      </c>
      <c r="G427" s="10" t="s">
        <v>1023</v>
      </c>
    </row>
    <row r="428" spans="1:7" ht="28.8" hidden="1" x14ac:dyDescent="0.3">
      <c r="A428" s="10">
        <v>427</v>
      </c>
      <c r="B428" s="10" t="s">
        <v>1899</v>
      </c>
      <c r="C428" s="10" t="s">
        <v>400</v>
      </c>
      <c r="D428" s="10" t="s">
        <v>1911</v>
      </c>
      <c r="E428" s="10" t="s">
        <v>1901</v>
      </c>
      <c r="F428" s="10" t="s">
        <v>1912</v>
      </c>
      <c r="G428" s="10" t="s">
        <v>1024</v>
      </c>
    </row>
    <row r="429" spans="1:7" ht="28.8" hidden="1" x14ac:dyDescent="0.3">
      <c r="A429" s="10">
        <v>428</v>
      </c>
      <c r="B429" s="10" t="s">
        <v>1899</v>
      </c>
      <c r="C429" s="10" t="s">
        <v>401</v>
      </c>
      <c r="D429" s="10" t="s">
        <v>1913</v>
      </c>
      <c r="E429" s="10" t="s">
        <v>1901</v>
      </c>
      <c r="F429" s="10" t="s">
        <v>1914</v>
      </c>
      <c r="G429" s="10" t="s">
        <v>1025</v>
      </c>
    </row>
    <row r="430" spans="1:7" ht="28.8" hidden="1" x14ac:dyDescent="0.3">
      <c r="A430" s="10">
        <v>429</v>
      </c>
      <c r="B430" s="10" t="s">
        <v>1899</v>
      </c>
      <c r="C430" s="10" t="s">
        <v>402</v>
      </c>
      <c r="D430" s="10" t="s">
        <v>1901</v>
      </c>
      <c r="E430" s="10" t="s">
        <v>1062</v>
      </c>
      <c r="F430" s="10" t="s">
        <v>1915</v>
      </c>
      <c r="G430" s="10" t="s">
        <v>1026</v>
      </c>
    </row>
    <row r="431" spans="1:7" ht="28.8" hidden="1" x14ac:dyDescent="0.3">
      <c r="A431" s="10">
        <v>430</v>
      </c>
      <c r="B431" s="10" t="s">
        <v>1899</v>
      </c>
      <c r="C431" s="10" t="s">
        <v>181</v>
      </c>
      <c r="D431" s="10" t="s">
        <v>1916</v>
      </c>
      <c r="E431" s="10" t="s">
        <v>1058</v>
      </c>
      <c r="F431" s="10" t="s">
        <v>1917</v>
      </c>
      <c r="G431" s="10" t="s">
        <v>1918</v>
      </c>
    </row>
    <row r="432" spans="1:7" ht="28.8" hidden="1" x14ac:dyDescent="0.3">
      <c r="A432" s="10">
        <v>431</v>
      </c>
      <c r="B432" s="10" t="s">
        <v>1919</v>
      </c>
      <c r="C432" s="10" t="s">
        <v>403</v>
      </c>
      <c r="D432" s="10" t="s">
        <v>1920</v>
      </c>
      <c r="E432" s="10" t="s">
        <v>1921</v>
      </c>
      <c r="F432" s="10" t="s">
        <v>1922</v>
      </c>
      <c r="G432" s="10" t="s">
        <v>1028</v>
      </c>
    </row>
    <row r="433" spans="1:7" ht="28.8" hidden="1" x14ac:dyDescent="0.3">
      <c r="A433" s="10">
        <v>432</v>
      </c>
      <c r="B433" s="10" t="s">
        <v>1919</v>
      </c>
      <c r="C433" s="10" t="s">
        <v>404</v>
      </c>
      <c r="D433" s="10" t="s">
        <v>1923</v>
      </c>
      <c r="E433" s="10" t="s">
        <v>1921</v>
      </c>
      <c r="F433" s="10" t="s">
        <v>1924</v>
      </c>
      <c r="G433" s="10" t="s">
        <v>1029</v>
      </c>
    </row>
    <row r="434" spans="1:7" ht="28.8" hidden="1" x14ac:dyDescent="0.3">
      <c r="A434" s="10">
        <v>433</v>
      </c>
      <c r="B434" s="10" t="s">
        <v>1919</v>
      </c>
      <c r="C434" s="10" t="s">
        <v>405</v>
      </c>
      <c r="D434" s="10" t="s">
        <v>1925</v>
      </c>
      <c r="E434" s="10" t="s">
        <v>1921</v>
      </c>
      <c r="F434" s="10" t="s">
        <v>1926</v>
      </c>
      <c r="G434" s="10" t="s">
        <v>1030</v>
      </c>
    </row>
    <row r="435" spans="1:7" ht="28.8" hidden="1" x14ac:dyDescent="0.3">
      <c r="A435" s="10">
        <v>434</v>
      </c>
      <c r="B435" s="10" t="s">
        <v>1919</v>
      </c>
      <c r="C435" s="10" t="s">
        <v>406</v>
      </c>
      <c r="D435" s="10" t="s">
        <v>1927</v>
      </c>
      <c r="E435" s="10" t="s">
        <v>1921</v>
      </c>
      <c r="F435" s="10" t="s">
        <v>1928</v>
      </c>
      <c r="G435" s="10" t="s">
        <v>1031</v>
      </c>
    </row>
    <row r="436" spans="1:7" ht="43.2" hidden="1" x14ac:dyDescent="0.3">
      <c r="A436" s="10">
        <v>435</v>
      </c>
      <c r="B436" s="10" t="s">
        <v>1919</v>
      </c>
      <c r="C436" s="10" t="s">
        <v>407</v>
      </c>
      <c r="D436" s="10" t="s">
        <v>1929</v>
      </c>
      <c r="E436" s="10" t="s">
        <v>1921</v>
      </c>
      <c r="F436" s="10" t="s">
        <v>1930</v>
      </c>
      <c r="G436" s="10" t="s">
        <v>1032</v>
      </c>
    </row>
    <row r="437" spans="1:7" ht="28.8" hidden="1" x14ac:dyDescent="0.3">
      <c r="A437" s="10">
        <v>436</v>
      </c>
      <c r="B437" s="10" t="s">
        <v>1919</v>
      </c>
      <c r="C437" s="10" t="s">
        <v>408</v>
      </c>
      <c r="D437" s="10" t="s">
        <v>1931</v>
      </c>
      <c r="E437" s="10" t="s">
        <v>1921</v>
      </c>
      <c r="F437" s="10" t="s">
        <v>1932</v>
      </c>
      <c r="G437" s="10" t="s">
        <v>1033</v>
      </c>
    </row>
    <row r="438" spans="1:7" ht="28.8" hidden="1" x14ac:dyDescent="0.3">
      <c r="A438" s="10">
        <v>437</v>
      </c>
      <c r="B438" s="10" t="s">
        <v>1919</v>
      </c>
      <c r="C438" s="10" t="s">
        <v>409</v>
      </c>
      <c r="D438" s="10" t="s">
        <v>1921</v>
      </c>
      <c r="E438" s="10" t="s">
        <v>1062</v>
      </c>
      <c r="F438" s="10" t="s">
        <v>1933</v>
      </c>
      <c r="G438" s="10" t="s">
        <v>1034</v>
      </c>
    </row>
    <row r="439" spans="1:7" ht="28.8" hidden="1" x14ac:dyDescent="0.3">
      <c r="A439" s="10">
        <v>438</v>
      </c>
      <c r="B439" s="10" t="s">
        <v>1934</v>
      </c>
      <c r="C439" s="10" t="s">
        <v>414</v>
      </c>
      <c r="D439" s="10" t="s">
        <v>1935</v>
      </c>
      <c r="E439" s="10" t="s">
        <v>1062</v>
      </c>
      <c r="F439" s="10" t="s">
        <v>1936</v>
      </c>
      <c r="G439" s="10" t="s">
        <v>1036</v>
      </c>
    </row>
    <row r="440" spans="1:7" ht="28.8" hidden="1" x14ac:dyDescent="0.3">
      <c r="A440" s="10">
        <v>439</v>
      </c>
      <c r="B440" s="10" t="s">
        <v>1934</v>
      </c>
      <c r="C440" s="10" t="s">
        <v>415</v>
      </c>
      <c r="D440" s="10" t="s">
        <v>1937</v>
      </c>
      <c r="E440" s="10" t="s">
        <v>1935</v>
      </c>
      <c r="F440" s="10" t="s">
        <v>1938</v>
      </c>
      <c r="G440" s="10" t="s">
        <v>1037</v>
      </c>
    </row>
    <row r="441" spans="1:7" ht="28.8" hidden="1" x14ac:dyDescent="0.3">
      <c r="A441" s="10">
        <v>440</v>
      </c>
      <c r="B441" s="10" t="s">
        <v>1934</v>
      </c>
      <c r="C441" s="10" t="s">
        <v>416</v>
      </c>
      <c r="D441" s="10" t="s">
        <v>1939</v>
      </c>
      <c r="E441" s="10" t="s">
        <v>1935</v>
      </c>
      <c r="F441" s="10" t="s">
        <v>1940</v>
      </c>
      <c r="G441" s="10" t="s">
        <v>1038</v>
      </c>
    </row>
    <row r="442" spans="1:7" ht="28.8" hidden="1" x14ac:dyDescent="0.3">
      <c r="A442" s="10">
        <v>441</v>
      </c>
      <c r="B442" s="10" t="s">
        <v>1934</v>
      </c>
      <c r="C442" s="10" t="s">
        <v>417</v>
      </c>
      <c r="D442" s="10" t="s">
        <v>1941</v>
      </c>
      <c r="E442" s="10" t="s">
        <v>1935</v>
      </c>
      <c r="F442" s="10" t="s">
        <v>1942</v>
      </c>
      <c r="G442" s="10" t="s">
        <v>1039</v>
      </c>
    </row>
    <row r="443" spans="1:7" ht="28.8" hidden="1" x14ac:dyDescent="0.3">
      <c r="A443" s="10">
        <v>442</v>
      </c>
      <c r="B443" s="10" t="s">
        <v>1934</v>
      </c>
      <c r="C443" s="10" t="s">
        <v>418</v>
      </c>
      <c r="D443" s="10" t="s">
        <v>1943</v>
      </c>
      <c r="E443" s="10" t="s">
        <v>1935</v>
      </c>
      <c r="F443" s="10" t="s">
        <v>1944</v>
      </c>
      <c r="G443" s="10" t="s">
        <v>1040</v>
      </c>
    </row>
    <row r="444" spans="1:7" ht="28.8" hidden="1" x14ac:dyDescent="0.3">
      <c r="A444" s="10">
        <v>443</v>
      </c>
      <c r="B444" s="10" t="s">
        <v>1934</v>
      </c>
      <c r="C444" s="10" t="s">
        <v>419</v>
      </c>
      <c r="D444" s="10" t="s">
        <v>1945</v>
      </c>
      <c r="E444" s="10" t="s">
        <v>1935</v>
      </c>
      <c r="F444" s="10" t="s">
        <v>1946</v>
      </c>
      <c r="G444" s="10" t="s">
        <v>1041</v>
      </c>
    </row>
    <row r="445" spans="1:7" ht="28.8" hidden="1" x14ac:dyDescent="0.3">
      <c r="A445" s="10">
        <v>444</v>
      </c>
      <c r="B445" s="10" t="s">
        <v>1934</v>
      </c>
      <c r="C445" s="10" t="s">
        <v>420</v>
      </c>
      <c r="D445" s="10" t="s">
        <v>1947</v>
      </c>
      <c r="E445" s="10" t="s">
        <v>1935</v>
      </c>
      <c r="F445" s="10" t="s">
        <v>1948</v>
      </c>
      <c r="G445" s="10" t="s">
        <v>1042</v>
      </c>
    </row>
    <row r="446" spans="1:7" ht="28.8" hidden="1" x14ac:dyDescent="0.3">
      <c r="A446" s="10">
        <v>445</v>
      </c>
      <c r="B446" s="10" t="s">
        <v>1934</v>
      </c>
      <c r="C446" s="10" t="s">
        <v>421</v>
      </c>
      <c r="D446" s="10" t="s">
        <v>1949</v>
      </c>
      <c r="E446" s="10" t="s">
        <v>1935</v>
      </c>
      <c r="F446" s="10" t="s">
        <v>1950</v>
      </c>
      <c r="G446" s="10" t="s">
        <v>1043</v>
      </c>
    </row>
    <row r="447" spans="1:7" ht="28.8" hidden="1" x14ac:dyDescent="0.3">
      <c r="A447" s="10">
        <v>446</v>
      </c>
      <c r="B447" s="10" t="s">
        <v>1934</v>
      </c>
      <c r="C447" s="10" t="s">
        <v>422</v>
      </c>
      <c r="D447" s="10" t="s">
        <v>1951</v>
      </c>
      <c r="E447" s="10" t="s">
        <v>1935</v>
      </c>
      <c r="F447" s="10" t="s">
        <v>1952</v>
      </c>
      <c r="G447" s="10" t="s">
        <v>1044</v>
      </c>
    </row>
    <row r="448" spans="1:7" ht="28.8" hidden="1" x14ac:dyDescent="0.3">
      <c r="A448" s="10">
        <v>447</v>
      </c>
      <c r="B448" s="10" t="s">
        <v>1934</v>
      </c>
      <c r="C448" s="10" t="s">
        <v>423</v>
      </c>
      <c r="D448" s="10" t="s">
        <v>1953</v>
      </c>
      <c r="E448" s="10" t="s">
        <v>1935</v>
      </c>
      <c r="F448" s="10" t="s">
        <v>1954</v>
      </c>
      <c r="G448" s="10" t="s">
        <v>1045</v>
      </c>
    </row>
    <row r="449" spans="1:7" ht="28.8" hidden="1" x14ac:dyDescent="0.3">
      <c r="A449" s="10">
        <v>448</v>
      </c>
      <c r="B449" s="10" t="s">
        <v>1934</v>
      </c>
      <c r="C449" s="10" t="s">
        <v>424</v>
      </c>
      <c r="D449" s="10" t="s">
        <v>1955</v>
      </c>
      <c r="E449" s="10" t="s">
        <v>1935</v>
      </c>
      <c r="F449" s="10" t="s">
        <v>1956</v>
      </c>
      <c r="G449" s="10" t="s">
        <v>1046</v>
      </c>
    </row>
    <row r="450" spans="1:7" ht="28.8" hidden="1" x14ac:dyDescent="0.3">
      <c r="A450" s="10">
        <v>449</v>
      </c>
      <c r="B450" s="10" t="s">
        <v>1934</v>
      </c>
      <c r="C450" s="10" t="s">
        <v>425</v>
      </c>
      <c r="D450" s="10" t="s">
        <v>1957</v>
      </c>
      <c r="E450" s="10" t="s">
        <v>1935</v>
      </c>
      <c r="F450" s="10" t="s">
        <v>1958</v>
      </c>
      <c r="G450" s="10" t="s">
        <v>1047</v>
      </c>
    </row>
    <row r="451" spans="1:7" ht="28.8" hidden="1" x14ac:dyDescent="0.3">
      <c r="A451" s="10">
        <v>450</v>
      </c>
      <c r="B451" s="10" t="s">
        <v>1934</v>
      </c>
      <c r="C451" s="10" t="s">
        <v>426</v>
      </c>
      <c r="D451" s="10" t="s">
        <v>1959</v>
      </c>
      <c r="E451" s="10" t="s">
        <v>1935</v>
      </c>
      <c r="F451" s="10" t="s">
        <v>1960</v>
      </c>
      <c r="G451" s="10" t="s">
        <v>1048</v>
      </c>
    </row>
    <row r="452" spans="1:7" ht="28.8" hidden="1" x14ac:dyDescent="0.3">
      <c r="A452" s="10">
        <v>451</v>
      </c>
      <c r="B452" s="10" t="s">
        <v>1934</v>
      </c>
      <c r="C452" s="10" t="s">
        <v>427</v>
      </c>
      <c r="D452" s="10" t="s">
        <v>1961</v>
      </c>
      <c r="E452" s="10" t="s">
        <v>1935</v>
      </c>
      <c r="F452" s="10" t="s">
        <v>1962</v>
      </c>
      <c r="G452" s="10" t="s">
        <v>1049</v>
      </c>
    </row>
    <row r="453" spans="1:7" ht="28.8" hidden="1" x14ac:dyDescent="0.3">
      <c r="A453" s="10">
        <v>452</v>
      </c>
      <c r="B453" s="10" t="s">
        <v>1934</v>
      </c>
      <c r="C453" s="10" t="s">
        <v>428</v>
      </c>
      <c r="D453" s="10" t="s">
        <v>1963</v>
      </c>
      <c r="E453" s="10" t="s">
        <v>1935</v>
      </c>
      <c r="F453" s="10" t="s">
        <v>1964</v>
      </c>
      <c r="G453" s="10" t="s">
        <v>1050</v>
      </c>
    </row>
    <row r="454" spans="1:7" ht="28.8" hidden="1" x14ac:dyDescent="0.3">
      <c r="A454" s="10">
        <v>453</v>
      </c>
      <c r="B454" s="10" t="s">
        <v>1934</v>
      </c>
      <c r="C454" s="10" t="s">
        <v>429</v>
      </c>
      <c r="D454" s="10" t="s">
        <v>1965</v>
      </c>
      <c r="E454" s="10" t="s">
        <v>1935</v>
      </c>
      <c r="F454" s="10" t="s">
        <v>1966</v>
      </c>
      <c r="G454" s="10" t="s">
        <v>1051</v>
      </c>
    </row>
    <row r="455" spans="1:7" ht="28.8" hidden="1" x14ac:dyDescent="0.3">
      <c r="A455" s="10">
        <v>454</v>
      </c>
      <c r="B455" s="10" t="s">
        <v>1934</v>
      </c>
      <c r="C455" s="10" t="s">
        <v>430</v>
      </c>
      <c r="D455" s="10" t="s">
        <v>1967</v>
      </c>
      <c r="E455" s="10" t="s">
        <v>1935</v>
      </c>
      <c r="F455" s="10" t="s">
        <v>1968</v>
      </c>
      <c r="G455" s="10" t="s">
        <v>1052</v>
      </c>
    </row>
    <row r="456" spans="1:7" ht="28.8" hidden="1" x14ac:dyDescent="0.3">
      <c r="A456" s="10">
        <v>455</v>
      </c>
      <c r="B456" s="10" t="s">
        <v>1934</v>
      </c>
      <c r="C456" s="10" t="s">
        <v>431</v>
      </c>
      <c r="D456" s="10" t="s">
        <v>1969</v>
      </c>
      <c r="E456" s="10" t="s">
        <v>1935</v>
      </c>
      <c r="F456" s="10" t="s">
        <v>1970</v>
      </c>
      <c r="G456" s="10" t="s">
        <v>1053</v>
      </c>
    </row>
    <row r="457" spans="1:7" ht="28.8" hidden="1" x14ac:dyDescent="0.3">
      <c r="A457" s="10">
        <v>456</v>
      </c>
      <c r="B457" s="10" t="s">
        <v>1934</v>
      </c>
      <c r="C457" s="10" t="s">
        <v>432</v>
      </c>
      <c r="D457" s="10" t="s">
        <v>1971</v>
      </c>
      <c r="E457" s="10" t="s">
        <v>1935</v>
      </c>
      <c r="F457" s="10" t="s">
        <v>1972</v>
      </c>
      <c r="G457" s="10" t="s">
        <v>1054</v>
      </c>
    </row>
    <row r="458" spans="1:7" ht="28.8" hidden="1" x14ac:dyDescent="0.3">
      <c r="A458" s="10">
        <v>457</v>
      </c>
      <c r="B458" s="10" t="s">
        <v>1934</v>
      </c>
      <c r="C458" s="10" t="s">
        <v>433</v>
      </c>
      <c r="D458" s="10" t="s">
        <v>1973</v>
      </c>
      <c r="E458" s="10" t="s">
        <v>1935</v>
      </c>
      <c r="F458" s="10" t="s">
        <v>1974</v>
      </c>
      <c r="G458" s="10" t="s">
        <v>1055</v>
      </c>
    </row>
  </sheetData>
  <autoFilter ref="A1:G458" xr:uid="{136B5B40-94A3-4421-BFB7-153F1217A494}">
    <filterColumn colId="4">
      <filters>
        <filter val="CEvent"/>
        <filter val="CWndEvents"/>
      </filters>
    </filterColumn>
  </autoFilter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0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D14" sqref="D14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46</v>
      </c>
      <c r="C1" s="9" t="s">
        <v>44</v>
      </c>
      <c r="D1" s="9" t="s">
        <v>45</v>
      </c>
    </row>
    <row r="2" spans="2:6" x14ac:dyDescent="0.3">
      <c r="B2" t="s">
        <v>47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48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49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50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51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52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53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54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55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56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57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58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59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60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61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62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63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64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65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66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67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68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69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70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71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72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73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74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75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76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77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78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79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80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81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82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83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84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85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86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87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88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89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90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91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92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93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94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E06D5-5909-48D4-A730-B6A68920DCDE}">
  <sheetPr codeName="Sheet3"/>
  <dimension ref="B1:I27"/>
  <sheetViews>
    <sheetView tabSelected="1" topLeftCell="D1" workbookViewId="0">
      <selection activeCell="I12" sqref="I12:I14"/>
    </sheetView>
  </sheetViews>
  <sheetFormatPr defaultRowHeight="14.4" x14ac:dyDescent="0.3"/>
  <cols>
    <col min="2" max="2" width="24" bestFit="1" customWidth="1"/>
    <col min="3" max="3" width="28.33203125" bestFit="1" customWidth="1"/>
    <col min="4" max="4" width="48.88671875" bestFit="1" customWidth="1"/>
    <col min="5" max="5" width="35.77734375" bestFit="1" customWidth="1"/>
    <col min="7" max="7" width="25.21875" bestFit="1" customWidth="1"/>
    <col min="8" max="8" width="30.21875" bestFit="1" customWidth="1"/>
    <col min="9" max="9" width="56.109375" bestFit="1" customWidth="1"/>
    <col min="10" max="10" width="28.77734375" bestFit="1" customWidth="1"/>
  </cols>
  <sheetData>
    <row r="1" spans="2:9" x14ac:dyDescent="0.3">
      <c r="B1" s="9" t="s">
        <v>44</v>
      </c>
      <c r="G1" s="9" t="s">
        <v>112</v>
      </c>
    </row>
    <row r="2" spans="2:9" x14ac:dyDescent="0.3">
      <c r="B2" t="s">
        <v>1975</v>
      </c>
      <c r="C2" t="str">
        <f>UPPER(SUBSTITUTE(B2,".","_"))</f>
        <v>CSCROLLH_MQH</v>
      </c>
      <c r="D2" t="str">
        <f>"#ifndef __"&amp;C$2&amp;"__"</f>
        <v>#ifndef __CSCROLLH_MQH__</v>
      </c>
      <c r="G2" t="str">
        <f>"C"&amp;C2</f>
        <v>CCSCROLLH_MQH</v>
      </c>
      <c r="H2" t="str">
        <f>UPPER(G2)</f>
        <v>CCSCROLLH_MQH</v>
      </c>
      <c r="I2" t="str">
        <f>"#ifndef "&amp;$H2</f>
        <v>#ifndef CCSCROLLH_MQH</v>
      </c>
    </row>
    <row r="3" spans="2:9" x14ac:dyDescent="0.3">
      <c r="D3" t="str">
        <f>"#define __" &amp; C2&amp;"__"</f>
        <v>#define __CSCROLLH_MQH__</v>
      </c>
      <c r="I3" t="str">
        <f>"#define " &amp; $H2</f>
        <v>#define CCSCROLLH_MQH</v>
      </c>
    </row>
    <row r="4" spans="2:9" x14ac:dyDescent="0.3">
      <c r="D4" t="str">
        <f>"#endif // __" &amp;C2&amp;"__"</f>
        <v>#endif // __CSCROLLH_MQH__</v>
      </c>
      <c r="I4" t="str">
        <f>"#endif // " &amp;$H2</f>
        <v>#endif // CCSCROLLH_MQH</v>
      </c>
    </row>
    <row r="6" spans="2:9" x14ac:dyDescent="0.3">
      <c r="C6" t="s">
        <v>115</v>
      </c>
      <c r="D6" t="str">
        <f>"#ifndef "&amp;C6&amp;"_"&amp;C2</f>
        <v>#ifndef MOVE_TO_CSCROLLH_MQH</v>
      </c>
    </row>
    <row r="7" spans="2:9" x14ac:dyDescent="0.3">
      <c r="D7" t="str">
        <f>"#define " &amp; C6&amp;"_"&amp;C2</f>
        <v>#define MOVE_TO_CSCROLLH_MQH</v>
      </c>
      <c r="H7" t="s">
        <v>113</v>
      </c>
      <c r="I7" t="str">
        <f>"#ifndef "&amp;$H$2&amp;"_"&amp;$H7</f>
        <v>#ifndef CCSCROLLH_MQH_DECLARATION</v>
      </c>
    </row>
    <row r="8" spans="2:9" x14ac:dyDescent="0.3">
      <c r="D8" t="str">
        <f>"#endif // " &amp;C6&amp;"_"&amp;C2</f>
        <v>#endif // MOVE_TO_CSCROLLH_MQH</v>
      </c>
      <c r="I8" t="str">
        <f>"#define " &amp; $H$2&amp;"_"&amp;H7</f>
        <v>#define CCSCROLLH_MQH_DECLARATION</v>
      </c>
    </row>
    <row r="9" spans="2:9" x14ac:dyDescent="0.3">
      <c r="I9" t="str">
        <f>"#endif // " &amp;$H2&amp;"_"&amp;H7</f>
        <v>#endif // CCSCROLLH_MQH_DECLARATION</v>
      </c>
    </row>
    <row r="10" spans="2:9" x14ac:dyDescent="0.3">
      <c r="B10" t="s">
        <v>173</v>
      </c>
      <c r="C10" t="str">
        <f>UPPER(SUBSTITUTE(B10,".","_"))</f>
        <v>CMAINPROGRAM_ONINITEVENT</v>
      </c>
      <c r="D10" t="str">
        <f>"#ifndef __"&amp;C6&amp;"_"&amp;C$10&amp;"__"</f>
        <v>#ifndef __MOVE_TO_CMAINPROGRAM_ONINITEVENT__</v>
      </c>
    </row>
    <row r="11" spans="2:9" x14ac:dyDescent="0.3">
      <c r="D11" t="str">
        <f>"#define __" &amp; C6&amp;"_"&amp;C10&amp;"__"</f>
        <v>#define __MOVE_TO_CMAINPROGRAM_ONINITEVENT__</v>
      </c>
    </row>
    <row r="12" spans="2:9" x14ac:dyDescent="0.3">
      <c r="D12" t="str">
        <f>"#endif // " &amp;C6&amp;"_"&amp;C10&amp;"__"</f>
        <v>#endif // MOVE_TO_CMAINPROGRAM_ONINITEVENT__</v>
      </c>
      <c r="H12" t="s">
        <v>114</v>
      </c>
      <c r="I12" t="str">
        <f>"#ifndef "&amp;$H$2&amp;"_"&amp;$H12</f>
        <v>#ifndef CCSCROLLH_MQH_IMPLEMENTATION</v>
      </c>
    </row>
    <row r="13" spans="2:9" x14ac:dyDescent="0.3">
      <c r="I13" t="str">
        <f>"#define " &amp; $H$2&amp;"_"&amp;H12</f>
        <v>#define CCSCROLLH_MQH_IMPLEMENTATION</v>
      </c>
    </row>
    <row r="14" spans="2:9" x14ac:dyDescent="0.3">
      <c r="I14" t="str">
        <f>"#endif // " &amp;H2&amp;"_"&amp;H12</f>
        <v>#endif // CCSCROLLH_MQH_IMPLEMENTATION</v>
      </c>
    </row>
    <row r="15" spans="2:9" x14ac:dyDescent="0.3">
      <c r="C15" t="s">
        <v>141</v>
      </c>
    </row>
    <row r="16" spans="2:9" x14ac:dyDescent="0.3">
      <c r="B16" t="s">
        <v>129</v>
      </c>
      <c r="C16" t="str">
        <f>UPPER(SUBSTITUTE(B16,".","_"))</f>
        <v>CTABLEROWVIEW</v>
      </c>
      <c r="D16" t="str">
        <f>"#ifndef __"&amp;C15&amp;"_"&amp;C$16&amp;"_CLASS__"</f>
        <v>#ifndef __MOVE_FROM_CTABLEROWVIEW_CLASS__</v>
      </c>
    </row>
    <row r="17" spans="2:5" x14ac:dyDescent="0.3">
      <c r="D17" t="str">
        <f>"#define __" &amp; C15&amp;"_"&amp;C16&amp;"_CLASS__"</f>
        <v>#define __MOVE_FROM_CTABLEROWVIEW_CLASS__</v>
      </c>
    </row>
    <row r="18" spans="2:5" x14ac:dyDescent="0.3">
      <c r="D18" t="str">
        <f>"#endif // " &amp;C15&amp;"_"&amp;C16&amp;"_CLASS__"</f>
        <v>#endif // MOVE_FROM_CTABLEROWVIEW_CLASS__</v>
      </c>
    </row>
    <row r="21" spans="2:5" x14ac:dyDescent="0.3">
      <c r="B21" t="s">
        <v>171</v>
      </c>
      <c r="C21" t="str">
        <f>UPPER(SUBSTITUTE(B21,".","_"))</f>
        <v>KNOW</v>
      </c>
      <c r="D21" t="str">
        <f>"#ifndef __"&amp;C$21&amp;"__"</f>
        <v>#ifndef __KNOW__</v>
      </c>
      <c r="E21" t="str">
        <f>"#ifndef _"&amp;C$21&amp;"_DECLARATION"</f>
        <v>#ifndef _KNOW_DECLARATION</v>
      </c>
    </row>
    <row r="22" spans="2:5" x14ac:dyDescent="0.3">
      <c r="D22" t="str">
        <f>"#define __" &amp;C21&amp;"__"</f>
        <v>#define __KNOW__</v>
      </c>
      <c r="E22" t="str">
        <f>"#define _" &amp;C21&amp;"_DECLARATION"</f>
        <v>#define _KNOW_DECLARATION</v>
      </c>
    </row>
    <row r="23" spans="2:5" x14ac:dyDescent="0.3">
      <c r="D23" t="str">
        <f>"#endif // __"  &amp;C21&amp;"__"</f>
        <v>#endif // __KNOW__</v>
      </c>
      <c r="E23" t="str">
        <f>"#endif // _"  &amp;C21&amp;"_DECLARATION"</f>
        <v>#endif // _KNOW_DECLARATION</v>
      </c>
    </row>
    <row r="25" spans="2:5" x14ac:dyDescent="0.3">
      <c r="B25" t="s">
        <v>172</v>
      </c>
      <c r="C25" t="str">
        <f>UPPER(SUBSTITUTE(B25,".","_"))</f>
        <v>UN_KNOW</v>
      </c>
      <c r="D25" t="str">
        <f>"#ifndef __"&amp;C$25&amp;"__"</f>
        <v>#ifndef __UN_KNOW__</v>
      </c>
      <c r="E25" t="str">
        <f>"#ifndef _"&amp;C$25&amp;"_IMPLEMENTATION"</f>
        <v>#ifndef _UN_KNOW_IMPLEMENTATION</v>
      </c>
    </row>
    <row r="26" spans="2:5" x14ac:dyDescent="0.3">
      <c r="D26" t="str">
        <f>"#define __" &amp;C$25&amp;"__"</f>
        <v>#define __UN_KNOW__</v>
      </c>
      <c r="E26" t="str">
        <f>"#define _" &amp;C$25&amp;"_IMPLEMENTATION"</f>
        <v>#define _UN_KNOW_IMPLEMENTATION</v>
      </c>
    </row>
    <row r="27" spans="2:5" x14ac:dyDescent="0.3">
      <c r="D27" t="str">
        <f>"#endif // __"  &amp;C25&amp;"__"</f>
        <v>#endif // __UN_KNOW__</v>
      </c>
      <c r="E27" t="str">
        <f>"#endif // _"  &amp;C25&amp;"_IMPLEMENTATION"</f>
        <v>#endif // _UN_KNOW_IMPLEMENTATION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C9AC7-73C8-4031-9C5A-D7875FA74A42}">
  <sheetPr codeName="Sheet13"/>
  <dimension ref="D2:R4"/>
  <sheetViews>
    <sheetView workbookViewId="0">
      <selection activeCell="R3" sqref="R3"/>
    </sheetView>
  </sheetViews>
  <sheetFormatPr defaultRowHeight="14.4" x14ac:dyDescent="0.3"/>
  <cols>
    <col min="5" max="5" width="11.44140625" bestFit="1" customWidth="1"/>
    <col min="11" max="11" width="6.88671875" bestFit="1" customWidth="1"/>
    <col min="12" max="12" width="2.33203125" bestFit="1" customWidth="1"/>
    <col min="13" max="13" width="2.21875" bestFit="1" customWidth="1"/>
    <col min="14" max="14" width="1.88671875" bestFit="1" customWidth="1"/>
    <col min="15" max="15" width="2.109375" bestFit="1" customWidth="1"/>
    <col min="16" max="16" width="2.88671875" bestFit="1" customWidth="1"/>
  </cols>
  <sheetData>
    <row r="2" spans="4:18" x14ac:dyDescent="0.3">
      <c r="D2" t="s">
        <v>162</v>
      </c>
      <c r="E2" t="s">
        <v>163</v>
      </c>
      <c r="F2" t="s">
        <v>166</v>
      </c>
      <c r="G2" t="s">
        <v>167</v>
      </c>
      <c r="H2" t="s">
        <v>168</v>
      </c>
      <c r="K2" t="s">
        <v>162</v>
      </c>
      <c r="L2" t="s">
        <v>447</v>
      </c>
      <c r="M2" t="s">
        <v>448</v>
      </c>
      <c r="N2" t="s">
        <v>450</v>
      </c>
      <c r="O2" t="s">
        <v>449</v>
      </c>
      <c r="P2" t="s">
        <v>451</v>
      </c>
      <c r="Q2" t="s">
        <v>452</v>
      </c>
      <c r="R2" t="s">
        <v>453</v>
      </c>
    </row>
    <row r="3" spans="4:18" x14ac:dyDescent="0.3">
      <c r="D3" t="s">
        <v>164</v>
      </c>
      <c r="E3" t="s">
        <v>165</v>
      </c>
      <c r="F3">
        <v>3500</v>
      </c>
      <c r="G3">
        <v>3600</v>
      </c>
      <c r="H3">
        <v>-10</v>
      </c>
    </row>
    <row r="4" spans="4:18" x14ac:dyDescent="0.3">
      <c r="D4" t="s">
        <v>169</v>
      </c>
      <c r="E4" t="s">
        <v>170</v>
      </c>
      <c r="F4">
        <v>4500</v>
      </c>
      <c r="G4">
        <v>4700</v>
      </c>
      <c r="H4">
        <v>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DashBoard</vt:lpstr>
      <vt:lpstr>Folders</vt:lpstr>
      <vt:lpstr>Files</vt:lpstr>
      <vt:lpstr>RelativeInclude</vt:lpstr>
      <vt:lpstr>Delete</vt:lpstr>
      <vt:lpstr>Conjunction</vt:lpstr>
      <vt:lpstr>Class</vt:lpstr>
      <vt:lpstr>Note</vt:lpstr>
      <vt:lpstr>Refactor</vt:lpstr>
      <vt:lpstr>IncludeGuard</vt:lpstr>
      <vt:lpstr>Sheet1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2026-06-27T09:38:23Z</dcterms:modified>
</cp:coreProperties>
</file>