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0E8209F77C8CF37AD8BF550E51FF075\MQL5\Experts\Anhnt\Document\"/>
    </mc:Choice>
  </mc:AlternateContent>
  <xr:revisionPtr revIDLastSave="0" documentId="13_ncr:1_{A3571A79-9853-4034-BFEF-646A98A4D968}" xr6:coauthVersionLast="47" xr6:coauthVersionMax="47" xr10:uidLastSave="{00000000-0000-0000-0000-000000000000}"/>
  <bookViews>
    <workbookView xWindow="-108" yWindow="-108" windowWidth="23256" windowHeight="12456" tabRatio="782" activeTab="9" xr2:uid="{00000000-000D-0000-FFFF-FFFF00000000}"/>
  </bookViews>
  <sheets>
    <sheet name="DashBoard" sheetId="9" r:id="rId1"/>
    <sheet name="Folders" sheetId="13" r:id="rId2"/>
    <sheet name="Files" sheetId="10" r:id="rId3"/>
    <sheet name="RelativeInclude" sheetId="15" r:id="rId4"/>
    <sheet name="Delete" sheetId="16" r:id="rId5"/>
    <sheet name="Conjunction" sheetId="12" r:id="rId6"/>
    <sheet name="Class" sheetId="11" r:id="rId7"/>
    <sheet name="Note" sheetId="1" r:id="rId8"/>
    <sheet name="Refactor" sheetId="8" r:id="rId9"/>
    <sheet name="IncludeGuard" sheetId="14" r:id="rId10"/>
    <sheet name="Sheet1" sheetId="17" r:id="rId11"/>
    <sheet name="Enum and Define" sheetId="6" r:id="rId12"/>
    <sheet name="Unique" sheetId="4" r:id="rId13"/>
  </sheets>
  <externalReferences>
    <externalReference r:id="rId14"/>
  </externalReferences>
  <definedNames>
    <definedName name="_xlnm._FilterDatabase" localSheetId="6" hidden="1">Class!$A$1:$G$1</definedName>
    <definedName name="_xlnm._FilterDatabase" localSheetId="2" hidden="1">Files!$A$1:$D$57</definedName>
    <definedName name="_xlnm._FilterDatabase" localSheetId="7" hidden="1">Note!$B$1:$F$1</definedName>
    <definedName name="_xlnm._FilterDatabase" localSheetId="3" hidden="1">RelativeInclude!$A$1:$D$1</definedName>
    <definedName name="Kitco_Data">OFFSET([1]Kitco!$A$2,0,0,COUNTA([1]Gold!$A:$A)-1,9)</definedName>
    <definedName name="Note_Expert">OFFSET(Note!$B$2,0,0,COUNTA(Note!$B:$B)-1)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4" l="1"/>
  <c r="E26" i="14"/>
  <c r="E25" i="14"/>
  <c r="E23" i="14"/>
  <c r="E22" i="14"/>
  <c r="E21" i="14"/>
  <c r="D25" i="14"/>
  <c r="C25" i="14"/>
  <c r="D26" i="14" s="1"/>
  <c r="C21" i="14"/>
  <c r="D22" i="14" s="1"/>
  <c r="C16" i="14"/>
  <c r="D16" i="14" s="1"/>
  <c r="D27" i="14" l="1"/>
  <c r="D21" i="14"/>
  <c r="D23" i="14"/>
  <c r="D17" i="14"/>
  <c r="D18" i="14"/>
  <c r="C10" i="14"/>
  <c r="D11" i="14" s="1"/>
  <c r="D12" i="14" l="1"/>
  <c r="D10" i="14"/>
  <c r="C2" i="14"/>
  <c r="G2" i="14" s="1"/>
  <c r="H2" i="14" s="1"/>
  <c r="I8" i="14" s="1"/>
  <c r="E3" i="12"/>
  <c r="E4" i="12"/>
  <c r="E5" i="12"/>
  <c r="E6" i="12"/>
  <c r="E7" i="12"/>
  <c r="E8" i="12"/>
  <c r="E9" i="12"/>
  <c r="E10" i="12"/>
  <c r="E11" i="12"/>
  <c r="E12" i="12"/>
  <c r="D4" i="14" l="1"/>
  <c r="D3" i="14"/>
  <c r="D2" i="14"/>
  <c r="D6" i="14"/>
  <c r="D7" i="14"/>
  <c r="D8" i="14"/>
  <c r="I14" i="14"/>
  <c r="I2" i="14"/>
  <c r="I3" i="14"/>
  <c r="I4" i="14"/>
  <c r="I7" i="14"/>
  <c r="I9" i="14"/>
  <c r="I12" i="14"/>
  <c r="I13" i="14"/>
  <c r="E2" i="12"/>
  <c r="C3" i="8"/>
  <c r="C4" i="8"/>
  <c r="C5" i="8"/>
  <c r="C6" i="8"/>
  <c r="D6" i="8" s="1"/>
  <c r="C7" i="8"/>
  <c r="C8" i="8"/>
  <c r="D8" i="8" s="1"/>
  <c r="C9" i="8"/>
  <c r="D9" i="8" s="1"/>
  <c r="C10" i="8"/>
  <c r="D10" i="8" s="1"/>
  <c r="C11" i="8"/>
  <c r="D11" i="8" s="1"/>
  <c r="C12" i="8"/>
  <c r="C13" i="8"/>
  <c r="D13" i="8" s="1"/>
  <c r="C14" i="8"/>
  <c r="D14" i="8" s="1"/>
  <c r="C15" i="8"/>
  <c r="C16" i="8"/>
  <c r="C17" i="8"/>
  <c r="C18" i="8"/>
  <c r="C19" i="8"/>
  <c r="C20" i="8"/>
  <c r="C21" i="8"/>
  <c r="C22" i="8"/>
  <c r="D22" i="8" s="1"/>
  <c r="C23" i="8"/>
  <c r="D23" i="8" s="1"/>
  <c r="C24" i="8"/>
  <c r="D24" i="8" s="1"/>
  <c r="C25" i="8"/>
  <c r="D25" i="8" s="1"/>
  <c r="C26" i="8"/>
  <c r="D26" i="8" s="1"/>
  <c r="C27" i="8"/>
  <c r="D27" i="8" s="1"/>
  <c r="C28" i="8"/>
  <c r="C29" i="8"/>
  <c r="C30" i="8"/>
  <c r="C31" i="8"/>
  <c r="D31" i="8" s="1"/>
  <c r="C32" i="8"/>
  <c r="C33" i="8"/>
  <c r="D33" i="8" s="1"/>
  <c r="C34" i="8"/>
  <c r="D34" i="8" s="1"/>
  <c r="C35" i="8"/>
  <c r="C36" i="8"/>
  <c r="C37" i="8"/>
  <c r="C38" i="8"/>
  <c r="D38" i="8" s="1"/>
  <c r="C39" i="8"/>
  <c r="D39" i="8" s="1"/>
  <c r="C40" i="8"/>
  <c r="C41" i="8"/>
  <c r="C42" i="8"/>
  <c r="C43" i="8"/>
  <c r="C44" i="8"/>
  <c r="D44" i="8" s="1"/>
  <c r="C45" i="8"/>
  <c r="D45" i="8" s="1"/>
  <c r="C46" i="8"/>
  <c r="D46" i="8" s="1"/>
  <c r="C47" i="8"/>
  <c r="D47" i="8" s="1"/>
  <c r="C48" i="8"/>
  <c r="C49" i="8"/>
  <c r="D49" i="8" s="1"/>
  <c r="C2" i="8"/>
  <c r="D2" i="8" s="1"/>
  <c r="D3" i="8"/>
  <c r="D5" i="8"/>
  <c r="D7" i="8"/>
  <c r="D15" i="8"/>
  <c r="D16" i="8"/>
  <c r="D17" i="8"/>
  <c r="D18" i="8"/>
  <c r="D19" i="8"/>
  <c r="D20" i="8"/>
  <c r="D21" i="8"/>
  <c r="D29" i="8"/>
  <c r="D30" i="8"/>
  <c r="D35" i="8"/>
  <c r="D36" i="8"/>
  <c r="D37" i="8"/>
  <c r="D41" i="8"/>
  <c r="D42" i="8"/>
  <c r="D43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2" i="8"/>
  <c r="D28" i="8" l="1"/>
  <c r="D48" i="8"/>
  <c r="D40" i="8"/>
  <c r="D12" i="8"/>
  <c r="D32" i="8"/>
  <c r="D4" i="8"/>
</calcChain>
</file>

<file path=xl/sharedStrings.xml><?xml version="1.0" encoding="utf-8"?>
<sst xmlns="http://schemas.openxmlformats.org/spreadsheetml/2006/main" count="3144" uniqueCount="1702">
  <si>
    <t>Expert</t>
  </si>
  <si>
    <t>Alexander Fedosov</t>
  </si>
  <si>
    <t>Type</t>
  </si>
  <si>
    <t>EA</t>
  </si>
  <si>
    <t>GUI</t>
  </si>
  <si>
    <t>Indicator</t>
  </si>
  <si>
    <t>Series</t>
  </si>
  <si>
    <t>Feature</t>
  </si>
  <si>
    <t>Status</t>
  </si>
  <si>
    <t>Learn</t>
  </si>
  <si>
    <t>Apply</t>
  </si>
  <si>
    <t>Anatoli Kazharski</t>
  </si>
  <si>
    <t xml:space="preserve">EasyAndFastGUI </t>
  </si>
  <si>
    <t>STT</t>
  </si>
  <si>
    <t>Hezekiah Bukola Oyetunde</t>
  </si>
  <si>
    <t>Artyom Trishkin</t>
  </si>
  <si>
    <t>Graphics in DoEasy</t>
  </si>
  <si>
    <t>Professional Close All Positions Panel</t>
  </si>
  <si>
    <t>Quick open,close trade position</t>
  </si>
  <si>
    <t>Update to</t>
  </si>
  <si>
    <t>1. First steps</t>
  </si>
  <si>
    <t>Library for easy and quick development of MetaTrader programs</t>
  </si>
  <si>
    <t>1. Concept, data management</t>
  </si>
  <si>
    <t>2. Collection of historical orders and deals</t>
  </si>
  <si>
    <t>3. Collection of market orders and positions, search and sorting</t>
  </si>
  <si>
    <t>4. Trading events</t>
  </si>
  <si>
    <t>5. Classes and collection of trading events, sending events to the program</t>
  </si>
  <si>
    <t>7.StopLimit order activation events, preparing the functionality for order and position modification events</t>
  </si>
  <si>
    <t>8. Order and position modification events</t>
  </si>
  <si>
    <t>Note</t>
  </si>
  <si>
    <t>12. Account object class and collection of account objects</t>
  </si>
  <si>
    <t>13. Account object events</t>
  </si>
  <si>
    <t>14. Symbol object</t>
  </si>
  <si>
    <t>15.Collection of symbol objects</t>
  </si>
  <si>
    <t>18. Interactivity of account and any other library objects</t>
  </si>
  <si>
    <t>22. Trading classes - Base trading class, verification of limitations</t>
  </si>
  <si>
    <t>35. Bar object and symbol timeseries list</t>
  </si>
  <si>
    <t>Expert Advisor for Pin Bar Price Action</t>
  </si>
  <si>
    <t>StopLoss trailing classes library</t>
  </si>
  <si>
    <t>33.Vertical ScrollBar</t>
  </si>
  <si>
    <t>Inherit</t>
  </si>
  <si>
    <t>Class</t>
  </si>
  <si>
    <t>Folder</t>
  </si>
  <si>
    <t>Base</t>
  </si>
  <si>
    <t>FileName</t>
  </si>
  <si>
    <t>Fixed</t>
  </si>
  <si>
    <t>Old file</t>
  </si>
  <si>
    <t>#include "..\Objects\Graph\WForms\Containers\GroupBox.mqh"</t>
  </si>
  <si>
    <t>#include "..\Objects\Graph\WForms\Containers\Panel.mqh"</t>
  </si>
  <si>
    <t>#include "..\Objects\Graph\WForms\Common Controls\CheckedListBox.mqh"</t>
  </si>
  <si>
    <t>#include "..\Objects\Graph\WForms\Common Controls\ButtonListBox.mqh"</t>
  </si>
  <si>
    <t>#include "..\Objects\Graph\Standard\GStdVLineObj.mqh"</t>
  </si>
  <si>
    <t>#include "..\Objects\Graph\Standard\GStdHLineObj.mqh"</t>
  </si>
  <si>
    <t>#include "..\Objects\Graph\Standard\GStdTrendObj.mqh"</t>
  </si>
  <si>
    <t>#include "..\Objects\Graph\Standard\GStdTrendByAngleObj.mqh"</t>
  </si>
  <si>
    <t>#include "..\Objects\Graph\Standard\GStdCiclesObj.mqh"</t>
  </si>
  <si>
    <t>#include "..\Objects\Graph\Standard\GStdArrowedLineObj.mqh"</t>
  </si>
  <si>
    <t>#include "..\Objects\Graph\Standard\GStdChannelObj.mqh"</t>
  </si>
  <si>
    <t>#include "..\Objects\Graph\Standard\GStdStdDevChannelObj.mqh"</t>
  </si>
  <si>
    <t>#include "..\Objects\Graph\Standard\GStdRegressionObj.mqh"</t>
  </si>
  <si>
    <t>#include "..\Objects\Graph\Standard\GStdPitchforkObj.mqh"</t>
  </si>
  <si>
    <t>#include "..\Objects\Graph\Standard\GStdGannLineObj.mqh"</t>
  </si>
  <si>
    <t>#include "..\Objects\Graph\Standard\GStdGannFanObj.mqh"</t>
  </si>
  <si>
    <t>#include "..\Objects\Graph\Standard\GStdGannGridObj.mqh"</t>
  </si>
  <si>
    <t>#include "..\Objects\Graph\Standard\GStdFiboObj.mqh"</t>
  </si>
  <si>
    <t>#include "..\Objects\Graph\Standard\GStdFiboTimesObj.mqh"</t>
  </si>
  <si>
    <t>#include "..\Objects\Graph\Standard\GStdFiboFanObj.mqh"</t>
  </si>
  <si>
    <t>#include "..\Objects\Graph\Standard\GStdFiboArcObj.mqh"</t>
  </si>
  <si>
    <t>#include "..\Objects\Graph\Standard\GStdFiboChannelObj.mqh"</t>
  </si>
  <si>
    <t>#include "..\Objects\Graph\Standard\GStdExpansionObj.mqh"</t>
  </si>
  <si>
    <t>#include "..\Objects\Graph\Standard\GStdElliotWave5Obj.mqh"</t>
  </si>
  <si>
    <t>#include "..\Objects\Graph\Standard\GStdElliotWave3Obj.mqh"</t>
  </si>
  <si>
    <t>#include "..\Objects\Graph\Standard\GStdRectangleObj.mqh"</t>
  </si>
  <si>
    <t>#include "..\Objects\Graph\Standard\GStdTriangleObj.mqh"</t>
  </si>
  <si>
    <t>#include "..\Objects\Graph\Standard\GStdEllipseObj.mqh"</t>
  </si>
  <si>
    <t>#include "..\Objects\Graph\Standard\GStdArrowThumbUpObj.mqh"</t>
  </si>
  <si>
    <t>#include "..\Objects\Graph\Standard\GStdArrowThumbDownObj.mqh"</t>
  </si>
  <si>
    <t>#include "..\Objects\Graph\Standard\GStdArrowUpObj.mqh"</t>
  </si>
  <si>
    <t>#include "..\Objects\Graph\Standard\GStdArrowDownObj.mqh"</t>
  </si>
  <si>
    <t>#include "..\Objects\Graph\Standard\GStdArrowStopObj.mqh"</t>
  </si>
  <si>
    <t>#include "..\Objects\Graph\Standard\GStdArrowCheckObj.mqh"</t>
  </si>
  <si>
    <t>#include "..\Objects\Graph\Standard\GStdArrowLeftPriceObj.mqh"</t>
  </si>
  <si>
    <t>#include "..\Objects\Graph\Standard\GStdArrowRightPriceObj.mqh"</t>
  </si>
  <si>
    <t>#include "..\Objects\Graph\Standard\GStdArrowBuyObj.mqh"</t>
  </si>
  <si>
    <t>#include "..\Objects\Graph\Standard\GStdArrowSellObj.mqh"</t>
  </si>
  <si>
    <t>#include "..\Objects\Graph\Standard\GStdArrowObj.mqh"</t>
  </si>
  <si>
    <t>#include "..\Objects\Graph\Standard\GStdTextObj.mqh"</t>
  </si>
  <si>
    <t>#include "..\Objects\Graph\Standard\GStdLabelObj.mqh"</t>
  </si>
  <si>
    <t>#include "..\Objects\Graph\Standard\GStdButtonObj.mqh"</t>
  </si>
  <si>
    <t>#include "..\Objects\Graph\Standard\GStdChartObj.mqh"</t>
  </si>
  <si>
    <t>#include "..\Objects\Graph\Standard\GStdBitmapObj.mqh"</t>
  </si>
  <si>
    <t>#include "..\Objects\Graph\Standard\GStdBitmapLabelObj.mqh"</t>
  </si>
  <si>
    <t>#include "..\Objects\Graph\Standard\GStdEditObj.mqh"</t>
  </si>
  <si>
    <t>#include "..\Objects\Graph\Standard\GStdEventObj.mqh"</t>
  </si>
  <si>
    <t>#include "..\Objects\Graph\Standard\GStdRectangleLabelObj.mqh"</t>
  </si>
  <si>
    <t>C:\Users\nguye\AppData\Roaming\MetaQuotes\Terminal\D0E8209F77C8CF37AD8BF550E51FF075\MQL5\Experts</t>
  </si>
  <si>
    <t>Target</t>
  </si>
  <si>
    <t>D:\MT5-Dev\Experts</t>
  </si>
  <si>
    <t>Dir</t>
  </si>
  <si>
    <t>Allan Munene Mutiiria</t>
  </si>
  <si>
    <t>Folder Name</t>
  </si>
  <si>
    <t>Anhnt</t>
  </si>
  <si>
    <t>Chacha Ian Maroa</t>
  </si>
  <si>
    <t>Christian Benjamin</t>
  </si>
  <si>
    <t>Clemence Benjamin</t>
  </si>
  <si>
    <t>Dmitry Voronkov</t>
  </si>
  <si>
    <t>Hlomohang John Borotho</t>
  </si>
  <si>
    <t>joaopedrodev</t>
  </si>
  <si>
    <t>Base folders</t>
  </si>
  <si>
    <t>Include</t>
  </si>
  <si>
    <t>Exclude</t>
  </si>
  <si>
    <t>*.mq5;*.mqh</t>
  </si>
  <si>
    <t>Class Name</t>
  </si>
  <si>
    <t>DECLARATION</t>
  </si>
  <si>
    <t>IMPLEMENTATION</t>
  </si>
  <si>
    <t>MOVE_TO</t>
  </si>
  <si>
    <t>Include Relative</t>
  </si>
  <si>
    <t>File Name</t>
  </si>
  <si>
    <t>Include Fix</t>
  </si>
  <si>
    <t>Don't Insert Row, May be It Cause Delete file</t>
  </si>
  <si>
    <t>ListObj.mqh</t>
  </si>
  <si>
    <t>Container.mqh</t>
  </si>
  <si>
    <t>DELib.mqh</t>
  </si>
  <si>
    <t>BaseObj.mqh</t>
  </si>
  <si>
    <t>Button.mqh</t>
  </si>
  <si>
    <t>CheckBox.mqh</t>
  </si>
  <si>
    <t>GroupBox.mqh</t>
  </si>
  <si>
    <t>Label.mqh</t>
  </si>
  <si>
    <t>Panel.mqh</t>
  </si>
  <si>
    <t>RadioButton.mqh</t>
  </si>
  <si>
    <t>CListObj</t>
  </si>
  <si>
    <t>CObject</t>
  </si>
  <si>
    <t>CBaseObj</t>
  </si>
  <si>
    <t>CLabel</t>
  </si>
  <si>
    <t>CButton</t>
  </si>
  <si>
    <t>CCheckBox</t>
  </si>
  <si>
    <t>CRadioButton</t>
  </si>
  <si>
    <t>CPanel</t>
  </si>
  <si>
    <t>CGroupBox</t>
  </si>
  <si>
    <t>CContainer</t>
  </si>
  <si>
    <t>CTableRowView</t>
  </si>
  <si>
    <t>*.ex5;*.bak</t>
  </si>
  <si>
    <t>Deleted</t>
  </si>
  <si>
    <t>1. 17653 Applying the MVC concept</t>
  </si>
  <si>
    <t>3. 18221 Lib</t>
  </si>
  <si>
    <t>5. 18941 Resizable elements</t>
  </si>
  <si>
    <t>6. 19288 Integrating the Model Component into the View Component</t>
  </si>
  <si>
    <t>7. 19979 Customizable and sortable table columns</t>
  </si>
  <si>
    <t>8. 20596 Lib</t>
  </si>
  <si>
    <t>2. 17960 Base graphical element</t>
  </si>
  <si>
    <t>4. 18658 Containers</t>
  </si>
  <si>
    <t>8. 20596 Refactor</t>
  </si>
  <si>
    <t>MOVE_FROM</t>
  </si>
  <si>
    <t>Artyom Trishkin\2. Timeseries in DoEasy library</t>
  </si>
  <si>
    <t>8787 TestDoEasyPart58.ex5</t>
  </si>
  <si>
    <t>Artyom Trishkin\3. Tables in the MVC\17960 Base graphical element\Original Russian</t>
  </si>
  <si>
    <t>17960 TestControls Ru.ex5</t>
  </si>
  <si>
    <t>Artyom Trishkin\3. Tables in the MVC\18221 Simple controls\Original Russian</t>
  </si>
  <si>
    <t>18221 iTestLabel.ex5</t>
  </si>
  <si>
    <t>Artyom Trishkin\3. Tables in the MVC\18658 Containers\Original Russian</t>
  </si>
  <si>
    <t>18658 iTestContainer.ex5</t>
  </si>
  <si>
    <t>Artyom Trishkin\3. Tables in the MVC\19288 Integrating the Model Component into the View Component\Original Russian</t>
  </si>
  <si>
    <t>19288 iTestTable Ru Original.ex5</t>
  </si>
  <si>
    <t>Artyom Trishkin\SQLite\7463 Native handling of SQL databases</t>
  </si>
  <si>
    <t>DatabaseExecute.ex5</t>
  </si>
  <si>
    <t>DatabaseRead.ex5</t>
  </si>
  <si>
    <t>DatabaseReadBind.ex5</t>
  </si>
  <si>
    <t>DatabaseTransactionBegin.ex5</t>
  </si>
  <si>
    <t>MACD Sample Database.ex5</t>
  </si>
  <si>
    <t>Artyom Trishkin\SQLite\7463 Native handling of SQL databases\SqLiteTest</t>
  </si>
  <si>
    <t>SQLiteTest.ex5</t>
  </si>
  <si>
    <t>Hlomohang John Borotho\Swing Extremes and Pullbacks</t>
  </si>
  <si>
    <t>3. 21888 Defining Structural Validity Beyond Simple HighsLows.ex5</t>
  </si>
  <si>
    <t>Symbol</t>
  </si>
  <si>
    <t>PositionType</t>
  </si>
  <si>
    <t>USD</t>
  </si>
  <si>
    <t>Sell</t>
  </si>
  <si>
    <t>SellPrice</t>
  </si>
  <si>
    <t>CurrentPrice</t>
  </si>
  <si>
    <t>Win/Lost</t>
  </si>
  <si>
    <t>Gold</t>
  </si>
  <si>
    <t>Buy</t>
  </si>
  <si>
    <t>Know</t>
  </si>
  <si>
    <t>Un_Know</t>
  </si>
  <si>
    <t>CMainProgram_OnInitEvent</t>
  </si>
  <si>
    <t>AccountsCollection.mqh</t>
  </si>
  <si>
    <t>BookSeriesCollection.mqh</t>
  </si>
  <si>
    <t>BuffersCollection.mqh</t>
  </si>
  <si>
    <t>EventsCollection.mqh</t>
  </si>
  <si>
    <t>HistoryCollection.mqh</t>
  </si>
  <si>
    <t>IndicatorsCollection.mqh</t>
  </si>
  <si>
    <t>MarketCollection.mqh</t>
  </si>
  <si>
    <t>OrderControl.mqh</t>
  </si>
  <si>
    <t>SymbolsCollection.mqh</t>
  </si>
  <si>
    <t>TickSeriesCollection.mqh</t>
  </si>
  <si>
    <t>TimeSeriesCollection.mqh</t>
  </si>
  <si>
    <t>Trading.mqh</t>
  </si>
  <si>
    <t>Include\Vendors\Anhnt\Library\2. DoEasy. Service functions</t>
  </si>
  <si>
    <t>Data.mqh</t>
  </si>
  <si>
    <t>#include &lt;Vendors\Anhnt\Library\2. DoEasy. Service functions\Data.mqh&gt;</t>
  </si>
  <si>
    <t>DataIMG.mqh</t>
  </si>
  <si>
    <t>#include &lt;Vendors\Anhnt\Library\2. DoEasy. Service functions\DataIMG.mqh&gt;</t>
  </si>
  <si>
    <t>DataSND.mqh</t>
  </si>
  <si>
    <t>#include &lt;Vendors\Anhnt\Library\2. DoEasy. Service functions\DataSND.mqh&gt;</t>
  </si>
  <si>
    <t>Defines.mqh</t>
  </si>
  <si>
    <t>#include &lt;Vendors\Anhnt\Library\2. DoEasy. Service functions\Defines.mqh&gt;</t>
  </si>
  <si>
    <t>Engine.mqh</t>
  </si>
  <si>
    <t>#include &lt;Vendors\Anhnt\Library\2. DoEasy. Service functions\Engine.mqh&gt;</t>
  </si>
  <si>
    <t>GraphINI.mqh</t>
  </si>
  <si>
    <t>#include &lt;Vendors\Anhnt\Library\2. DoEasy. Service functions\GraphINI.mqh&gt;</t>
  </si>
  <si>
    <t>InpData.mqh</t>
  </si>
  <si>
    <t>#include &lt;Vendors\Anhnt\Library\2. DoEasy. Service functions\InpData.mqh&gt;</t>
  </si>
  <si>
    <t>InpDatas.mqh</t>
  </si>
  <si>
    <t>#include &lt;Vendors\Anhnt\Library\2. DoEasy. Service functions\InpDatas.mqh&gt;</t>
  </si>
  <si>
    <t>ToMQL4.mqh</t>
  </si>
  <si>
    <t>#include &lt;Vendors\Anhnt\Library\2. DoEasy. Service functions\ToMQL4.mqh&gt;</t>
  </si>
  <si>
    <t>#include &lt;Vendors\Anhnt\Library\2. DoEasy. Service functions\Trading.mqh&gt;</t>
  </si>
  <si>
    <t>TradingControl.mqh</t>
  </si>
  <si>
    <t>#include &lt;Vendors\Anhnt\Library\2. DoEasy. Service functions\TradingControl.mqh&gt;</t>
  </si>
  <si>
    <t>Include\Vendors\Anhnt\Library\2. DoEasy. Service functions\Collections</t>
  </si>
  <si>
    <t>#include &lt;Vendors\Anhnt\Library\2. DoEasy. Service functions\Collections\AccountsCollection.mqh&gt;</t>
  </si>
  <si>
    <t>#include &lt;Vendors\Anhnt\Library\2. DoEasy. Service functions\Collections\BookSeriesCollection.mqh&gt;</t>
  </si>
  <si>
    <t>#include &lt;Vendors\Anhnt\Library\2. DoEasy. Service functions\Collections\BuffersCollection.mqh&gt;</t>
  </si>
  <si>
    <t>ChartObjCollection.mqh</t>
  </si>
  <si>
    <t>#include &lt;Vendors\Anhnt\Library\2. DoEasy. Service functions\Collections\ChartObjCollection.mqh&gt;</t>
  </si>
  <si>
    <t>#include &lt;Vendors\Anhnt\Library\2. DoEasy. Service functions\Collections\EventsCollection.mqh&gt;</t>
  </si>
  <si>
    <t>GraphElementsCollection.mqh</t>
  </si>
  <si>
    <t>#include &lt;Vendors\Anhnt\Library\2. DoEasy. Service functions\Collections\GraphElementsCollection.mqh&gt;</t>
  </si>
  <si>
    <t>#include &lt;Vendors\Anhnt\Library\2. DoEasy. Service functions\Collections\HistoryCollection.mqh&gt;</t>
  </si>
  <si>
    <t>#include &lt;Vendors\Anhnt\Library\2. DoEasy. Service functions\Collections\IndicatorsCollection.mqh&gt;</t>
  </si>
  <si>
    <t>#include &lt;Vendors\Anhnt\Library\2. DoEasy. Service functions\Collections\ListObj.mqh&gt;</t>
  </si>
  <si>
    <t>#include &lt;Vendors\Anhnt\Library\2. DoEasy. Service functions\Collections\MarketCollection.mqh&gt;</t>
  </si>
  <si>
    <t>MQLSignalsCollection.mqh</t>
  </si>
  <si>
    <t>#include &lt;Vendors\Anhnt\Library\2. DoEasy. Service functions\Collections\MQLSignalsCollection.mqh&gt;</t>
  </si>
  <si>
    <t>#include &lt;Vendors\Anhnt\Library\2. DoEasy. Service functions\Collections\OrderControl.mqh&gt;</t>
  </si>
  <si>
    <t>ResourceCollection.mqh</t>
  </si>
  <si>
    <t>#include &lt;Vendors\Anhnt\Library\2. DoEasy. Service functions\Collections\ResourceCollection.mqh&gt;</t>
  </si>
  <si>
    <t>#include &lt;Vendors\Anhnt\Library\2. DoEasy. Service functions\Collections\SymbolsCollection.mqh&gt;</t>
  </si>
  <si>
    <t>#include &lt;Vendors\Anhnt\Library\2. DoEasy. Service functions\Collections\TickSeriesCollection.mqh&gt;</t>
  </si>
  <si>
    <t>#include &lt;Vendors\Anhnt\Library\2. DoEasy. Service functions\Collections\TimeSeriesCollection.mqh&gt;</t>
  </si>
  <si>
    <t>Include\Vendors\Anhnt\Library\2. DoEasy. Service functions\Objects</t>
  </si>
  <si>
    <t>#include &lt;Vendors\Anhnt\Library\2. DoEasy. Service functions\Objects\BaseObj.mqh&gt;</t>
  </si>
  <si>
    <t>Include\Vendors\Anhnt\Library\2. DoEasy. Service functions\Objects\Accounts</t>
  </si>
  <si>
    <t>Account.mqh</t>
  </si>
  <si>
    <t>#include &lt;Vendors\Anhnt\Library\2. DoEasy. Service functions\Objects\Accounts\Account.mqh&gt;</t>
  </si>
  <si>
    <t>Include\Vendors\Anhnt\Library\2. DoEasy. Service functions\Objects\Book</t>
  </si>
  <si>
    <t>MarketBookBuy.mqh</t>
  </si>
  <si>
    <t>#include &lt;Vendors\Anhnt\Library\2. DoEasy. Service functions\Objects\Book\MarketBookBuy.mqh&gt;</t>
  </si>
  <si>
    <t>MarketBookBuyMarket.mqh</t>
  </si>
  <si>
    <t>#include &lt;Vendors\Anhnt\Library\2. DoEasy. Service functions\Objects\Book\MarketBookBuyMarket.mqh&gt;</t>
  </si>
  <si>
    <t>MarketBookOrd.mqh</t>
  </si>
  <si>
    <t>#include &lt;Vendors\Anhnt\Library\2. DoEasy. Service functions\Objects\Book\MarketBookOrd.mqh&gt;</t>
  </si>
  <si>
    <t>MarketBookSell.mqh</t>
  </si>
  <si>
    <t>#include &lt;Vendors\Anhnt\Library\2. DoEasy. Service functions\Objects\Book\MarketBookSell.mqh&gt;</t>
  </si>
  <si>
    <t>MarketBookSellMarket.mqh</t>
  </si>
  <si>
    <t>#include &lt;Vendors\Anhnt\Library\2. DoEasy. Service functions\Objects\Book\MarketBookSellMarket.mqh&gt;</t>
  </si>
  <si>
    <t>MarketBookSnapshot.mqh</t>
  </si>
  <si>
    <t>#include &lt;Vendors\Anhnt\Library\2. DoEasy. Service functions\Objects\Book\MarketBookSnapshot.mqh&gt;</t>
  </si>
  <si>
    <t>MBookSeries.mqh</t>
  </si>
  <si>
    <t>#include &lt;Vendors\Anhnt\Library\2. DoEasy. Service functions\Objects\Book\MBookSeries.mqh&gt;</t>
  </si>
  <si>
    <t>Include\Vendors\Anhnt\Library\2. DoEasy. Service functions\Objects\Chart</t>
  </si>
  <si>
    <t>ChartObj.mqh</t>
  </si>
  <si>
    <t>#include &lt;Vendors\Anhnt\Library\2. DoEasy. Service functions\Objects\Chart\ChartObj.mqh&gt;</t>
  </si>
  <si>
    <t>ChartWnd.mqh</t>
  </si>
  <si>
    <t>#include &lt;Vendors\Anhnt\Library\2. DoEasy. Service functions\Objects\Chart\ChartWnd.mqh&gt;</t>
  </si>
  <si>
    <t>Include\Vendors\Anhnt\Library\2. DoEasy. Service functions\Objects\Events</t>
  </si>
  <si>
    <t>Event.mqh</t>
  </si>
  <si>
    <t>#include &lt;Vendors\Anhnt\Library\2. DoEasy. Service functions\Objects\Events\Event.mqh&gt;</t>
  </si>
  <si>
    <t>EventBalanceOperation.mqh</t>
  </si>
  <si>
    <t>#include &lt;Vendors\Anhnt\Library\2. DoEasy. Service functions\Objects\Events\EventBalanceOperation.mqh&gt;</t>
  </si>
  <si>
    <t>EventModify.mqh</t>
  </si>
  <si>
    <t>#include &lt;Vendors\Anhnt\Library\2. DoEasy. Service functions\Objects\Events\EventModify.mqh&gt;</t>
  </si>
  <si>
    <t>EventOrderPlaced.mqh</t>
  </si>
  <si>
    <t>#include &lt;Vendors\Anhnt\Library\2. DoEasy. Service functions\Objects\Events\EventOrderPlaced.mqh&gt;</t>
  </si>
  <si>
    <t>EventOrderRemoved.mqh</t>
  </si>
  <si>
    <t>#include &lt;Vendors\Anhnt\Library\2. DoEasy. Service functions\Objects\Events\EventOrderRemoved.mqh&gt;</t>
  </si>
  <si>
    <t>EventPositionClose.mqh</t>
  </si>
  <si>
    <t>#include &lt;Vendors\Anhnt\Library\2. DoEasy. Service functions\Objects\Events\EventPositionClose.mqh&gt;</t>
  </si>
  <si>
    <t>EventPositionOpen.mqh</t>
  </si>
  <si>
    <t>#include &lt;Vendors\Anhnt\Library\2. DoEasy. Service functions\Objects\Events\EventPositionOpen.mqh&gt;</t>
  </si>
  <si>
    <t>Include\Vendors\Anhnt\Library\2. DoEasy. Service functions\Objects\Graph</t>
  </si>
  <si>
    <t>Form.mqh</t>
  </si>
  <si>
    <t>#include &lt;Vendors\Anhnt\Library\2. DoEasy. Service functions\Objects\Graph\Form.mqh&gt;</t>
  </si>
  <si>
    <t>GBaseObj.mqh</t>
  </si>
  <si>
    <t>#include &lt;Vendors\Anhnt\Library\2. DoEasy. Service functions\Objects\Graph\GBaseObj.mqh&gt;</t>
  </si>
  <si>
    <t>GCnvBitmap.mqh</t>
  </si>
  <si>
    <t>#include &lt;Vendors\Anhnt\Library\2. DoEasy. Service functions\Objects\Graph\GCnvBitmap.mqh&gt;</t>
  </si>
  <si>
    <t>GCnvElement.mqh</t>
  </si>
  <si>
    <t>#include &lt;Vendors\Anhnt\Library\2. DoEasy. Service functions\Objects\Graph\GCnvElement.mqh&gt;</t>
  </si>
  <si>
    <t>GraphElmControl.mqh</t>
  </si>
  <si>
    <t>#include &lt;Vendors\Anhnt\Library\2. DoEasy. Service functions\Objects\Graph\GraphElmControl.mqh&gt;</t>
  </si>
  <si>
    <t>ShadowObj.mqh</t>
  </si>
  <si>
    <t>#include &lt;Vendors\Anhnt\Library\2. DoEasy. Service functions\Objects\Graph\ShadowObj.mqh&gt;</t>
  </si>
  <si>
    <t>Include\Vendors\Anhnt\Library\2. DoEasy. Service functions\Objects\Graph\Animations</t>
  </si>
  <si>
    <t>Animations.mqh</t>
  </si>
  <si>
    <t>#include &lt;Vendors\Anhnt\Library\2. DoEasy. Service functions\Objects\Graph\Animations\Animations.mqh&gt;</t>
  </si>
  <si>
    <t>Frame.mqh</t>
  </si>
  <si>
    <t>#include &lt;Vendors\Anhnt\Library\2. DoEasy. Service functions\Objects\Graph\Animations\Frame.mqh&gt;</t>
  </si>
  <si>
    <t>FrameGeometry.mqh</t>
  </si>
  <si>
    <t>#include &lt;Vendors\Anhnt\Library\2. DoEasy. Service functions\Objects\Graph\Animations\FrameGeometry.mqh&gt;</t>
  </si>
  <si>
    <t>FrameQuad.mqh</t>
  </si>
  <si>
    <t>#include &lt;Vendors\Anhnt\Library\2. DoEasy. Service functions\Objects\Graph\Animations\FrameQuad.mqh&gt;</t>
  </si>
  <si>
    <t>FrameText.mqh</t>
  </si>
  <si>
    <t>#include &lt;Vendors\Anhnt\Library\2. DoEasy. Service functions\Objects\Graph\Animations\FrameText.mqh&gt;</t>
  </si>
  <si>
    <t>Include\Vendors\Anhnt\Library\2. DoEasy. Service functions\Objects\Graph\Extend</t>
  </si>
  <si>
    <t>CGStdGraphObjExtToolkit.mqh</t>
  </si>
  <si>
    <t>#include &lt;Vendors\Anhnt\Library\2. DoEasy. Service functions\Objects\Graph\Extend\CGStdGraphObjExtToolkit.mqh&gt;</t>
  </si>
  <si>
    <t>Include\Vendors\Anhnt\Library\2. DoEasy. Service functions\Objects\Graph\Extended</t>
  </si>
  <si>
    <t>GStdArrowBuyObjExt.mqh</t>
  </si>
  <si>
    <t>#include &lt;Vendors\Anhnt\Library\2. DoEasy. Service functions\Objects\Graph\Extended\GStdArrowBuyObjExt.mqh&gt;</t>
  </si>
  <si>
    <t>GStdArrowCheckObjExt.mqh</t>
  </si>
  <si>
    <t>#include &lt;Vendors\Anhnt\Library\2. DoEasy. Service functions\Objects\Graph\Extended\GStdArrowCheckObjExt.mqh&gt;</t>
  </si>
  <si>
    <t>GStdArrowDownObjExt.mqh</t>
  </si>
  <si>
    <t>#include &lt;Vendors\Anhnt\Library\2. DoEasy. Service functions\Objects\Graph\Extended\GStdArrowDownObjExt.mqh&gt;</t>
  </si>
  <si>
    <t>GStdArrowedLineObjExt.mqh</t>
  </si>
  <si>
    <t>#include &lt;Vendors\Anhnt\Library\2. DoEasy. Service functions\Objects\Graph\Extended\GStdArrowedLineObjExt.mqh&gt;</t>
  </si>
  <si>
    <t>GStdArrowLeftPriceObjExt.mqh</t>
  </si>
  <si>
    <t>#include &lt;Vendors\Anhnt\Library\2. DoEasy. Service functions\Objects\Graph\Extended\GStdArrowLeftPriceObjExt.mqh&gt;</t>
  </si>
  <si>
    <t>GStdArrowObjExt.mqh</t>
  </si>
  <si>
    <t>#include &lt;Vendors\Anhnt\Library\2. DoEasy. Service functions\Objects\Graph\Extended\GStdArrowObjExt.mqh&gt;</t>
  </si>
  <si>
    <t>GStdArrowRightPriceObjExt.mqh</t>
  </si>
  <si>
    <t>#include &lt;Vendors\Anhnt\Library\2. DoEasy. Service functions\Objects\Graph\Extended\GStdArrowRightPriceObjExt.mqh&gt;</t>
  </si>
  <si>
    <t>GStdArrowSellObjExt.mqh</t>
  </si>
  <si>
    <t>#include &lt;Vendors\Anhnt\Library\2. DoEasy. Service functions\Objects\Graph\Extended\GStdArrowSellObjExt.mqh&gt;</t>
  </si>
  <si>
    <t>GStdArrowStopObjExt.mqh</t>
  </si>
  <si>
    <t>#include &lt;Vendors\Anhnt\Library\2. DoEasy. Service functions\Objects\Graph\Extended\GStdArrowStopObjExt.mqh&gt;</t>
  </si>
  <si>
    <t>GStdArrowThumbDownObjExt.mqh</t>
  </si>
  <si>
    <t>#include &lt;Vendors\Anhnt\Library\2. DoEasy. Service functions\Objects\Graph\Extended\GStdArrowThumbDownObjExt.mqh&gt;</t>
  </si>
  <si>
    <t>GStdArrowThumbUpObjExt.mqh</t>
  </si>
  <si>
    <t>#include &lt;Vendors\Anhnt\Library\2. DoEasy. Service functions\Objects\Graph\Extended\GStdArrowThumbUpObjExt.mqh&gt;</t>
  </si>
  <si>
    <t>GStdArrowUpObjExt.mqh</t>
  </si>
  <si>
    <t>#include &lt;Vendors\Anhnt\Library\2. DoEasy. Service functions\Objects\Graph\Extended\GStdArrowUpObjExt.mqh&gt;</t>
  </si>
  <si>
    <t>GStdBitmapLabelObjExt.mqh</t>
  </si>
  <si>
    <t>#include &lt;Vendors\Anhnt\Library\2. DoEasy. Service functions\Objects\Graph\Extended\GStdBitmapLabelObjExt.mqh&gt;</t>
  </si>
  <si>
    <t>GStdBitmapObjExt.mqh</t>
  </si>
  <si>
    <t>#include &lt;Vendors\Anhnt\Library\2. DoEasy. Service functions\Objects\Graph\Extended\GStdBitmapObjExt.mqh&gt;</t>
  </si>
  <si>
    <t>GStdButtonObjExt.mqh</t>
  </si>
  <si>
    <t>#include &lt;Vendors\Anhnt\Library\2. DoEasy. Service functions\Objects\Graph\Extended\GStdButtonObjExt.mqh&gt;</t>
  </si>
  <si>
    <t>GStdChannelObjExt.mqh</t>
  </si>
  <si>
    <t>#include &lt;Vendors\Anhnt\Library\2. DoEasy. Service functions\Objects\Graph\Extended\GStdChannelObjExt.mqh&gt;</t>
  </si>
  <si>
    <t>GStdChartObjExt.mqh</t>
  </si>
  <si>
    <t>#include &lt;Vendors\Anhnt\Library\2. DoEasy. Service functions\Objects\Graph\Extended\GStdChartObjExt.mqh&gt;</t>
  </si>
  <si>
    <t>GStdCiclesObjExt.mqh</t>
  </si>
  <si>
    <t>#include &lt;Vendors\Anhnt\Library\2. DoEasy. Service functions\Objects\Graph\Extended\GStdCiclesObjExt.mqh&gt;</t>
  </si>
  <si>
    <t>GStdEditObjExt.mqh</t>
  </si>
  <si>
    <t>#include &lt;Vendors\Anhnt\Library\2. DoEasy. Service functions\Objects\Graph\Extended\GStdEditObjExt.mqh&gt;</t>
  </si>
  <si>
    <t>GStdElliotWave3ObjExt.mqh</t>
  </si>
  <si>
    <t>#include &lt;Vendors\Anhnt\Library\2. DoEasy. Service functions\Objects\Graph\Extended\GStdElliotWave3ObjExt.mqh&gt;</t>
  </si>
  <si>
    <t>GStdElliotWave5ObjExt.mqh</t>
  </si>
  <si>
    <t>#include &lt;Vendors\Anhnt\Library\2. DoEasy. Service functions\Objects\Graph\Extended\GStdElliotWave5ObjExt.mqh&gt;</t>
  </si>
  <si>
    <t>GStdEllipseObjExt.mqh</t>
  </si>
  <si>
    <t>#include &lt;Vendors\Anhnt\Library\2. DoEasy. Service functions\Objects\Graph\Extended\GStdEllipseObjExt.mqh&gt;</t>
  </si>
  <si>
    <t>GStdEventObjExt.mqh</t>
  </si>
  <si>
    <t>#include &lt;Vendors\Anhnt\Library\2. DoEasy. Service functions\Objects\Graph\Extended\GStdEventObjExt.mqh&gt;</t>
  </si>
  <si>
    <t>GStdExpansionObjExt.mqh</t>
  </si>
  <si>
    <t>#include &lt;Vendors\Anhnt\Library\2. DoEasy. Service functions\Objects\Graph\Extended\GStdExpansionObjExt.mqh&gt;</t>
  </si>
  <si>
    <t>GStdFiboArcObjExt.mqh</t>
  </si>
  <si>
    <t>#include &lt;Vendors\Anhnt\Library\2. DoEasy. Service functions\Objects\Graph\Extended\GStdFiboArcObjExt.mqh&gt;</t>
  </si>
  <si>
    <t>GStdFiboChannelObjExt.mqh</t>
  </si>
  <si>
    <t>#include &lt;Vendors\Anhnt\Library\2. DoEasy. Service functions\Objects\Graph\Extended\GStdFiboChannelObjExt.mqh&gt;</t>
  </si>
  <si>
    <t>GStdFiboFanObjExt.mqh</t>
  </si>
  <si>
    <t>#include &lt;Vendors\Anhnt\Library\2. DoEasy. Service functions\Objects\Graph\Extended\GStdFiboFanObjExt.mqh&gt;</t>
  </si>
  <si>
    <t>GStdFiboObjExt.mqh</t>
  </si>
  <si>
    <t>#include &lt;Vendors\Anhnt\Library\2. DoEasy. Service functions\Objects\Graph\Extended\GStdFiboObjExt.mqh&gt;</t>
  </si>
  <si>
    <t>GStdFiboTimesObjExt.mqh</t>
  </si>
  <si>
    <t>#include &lt;Vendors\Anhnt\Library\2. DoEasy. Service functions\Objects\Graph\Extended\GStdFiboTimesObjExt.mqh&gt;</t>
  </si>
  <si>
    <t>GStdGannFanObjExt.mqh</t>
  </si>
  <si>
    <t>#include &lt;Vendors\Anhnt\Library\2. DoEasy. Service functions\Objects\Graph\Extended\GStdGannFanObjExt.mqh&gt;</t>
  </si>
  <si>
    <t>GStdGannGridObjExt.mqh</t>
  </si>
  <si>
    <t>#include &lt;Vendors\Anhnt\Library\2. DoEasy. Service functions\Objects\Graph\Extended\GStdGannGridObjExt.mqh&gt;</t>
  </si>
  <si>
    <t>GStdGannLineObjExt.mqh</t>
  </si>
  <si>
    <t>#include &lt;Vendors\Anhnt\Library\2. DoEasy. Service functions\Objects\Graph\Extended\GStdGannLineObjExt.mqh&gt;</t>
  </si>
  <si>
    <t>GStdGraphObjExt.mqh</t>
  </si>
  <si>
    <t>#include &lt;Vendors\Anhnt\Library\2. DoEasy. Service functions\Objects\Graph\Extended\GStdGraphObjExt.mqh&gt;</t>
  </si>
  <si>
    <t>GStdHLineObjExt.mqh</t>
  </si>
  <si>
    <t>#include &lt;Vendors\Anhnt\Library\2. DoEasy. Service functions\Objects\Graph\Extended\GStdHLineObjExt.mqh&gt;</t>
  </si>
  <si>
    <t>GStdLabelObjExt.mqh</t>
  </si>
  <si>
    <t>#include &lt;Vendors\Anhnt\Library\2. DoEasy. Service functions\Objects\Graph\Extended\GStdLabelObjExt.mqh&gt;</t>
  </si>
  <si>
    <t>GStdPitchforkObjExt.mqh</t>
  </si>
  <si>
    <t>#include &lt;Vendors\Anhnt\Library\2. DoEasy. Service functions\Objects\Graph\Extended\GStdPitchforkObjExt.mqh&gt;</t>
  </si>
  <si>
    <t>GStdRectangleLabelObjExt.mqh</t>
  </si>
  <si>
    <t>#include &lt;Vendors\Anhnt\Library\2. DoEasy. Service functions\Objects\Graph\Extended\GStdRectangleLabelObjExt.mqh&gt;</t>
  </si>
  <si>
    <t>GStdRectangleObjExt.mqh</t>
  </si>
  <si>
    <t>#include &lt;Vendors\Anhnt\Library\2. DoEasy. Service functions\Objects\Graph\Extended\GStdRectangleObjExt.mqh&gt;</t>
  </si>
  <si>
    <t>GStdRegressionObjExt.mqh</t>
  </si>
  <si>
    <t>#include &lt;Vendors\Anhnt\Library\2. DoEasy. Service functions\Objects\Graph\Extended\GStdRegressionObjExt.mqh&gt;</t>
  </si>
  <si>
    <t>GStdStdDevChannelObjExt.mqh</t>
  </si>
  <si>
    <t>#include &lt;Vendors\Anhnt\Library\2. DoEasy. Service functions\Objects\Graph\Extended\GStdStdDevChannelObjExt.mqh&gt;</t>
  </si>
  <si>
    <t>GStdTextObjExt.mqh</t>
  </si>
  <si>
    <t>#include &lt;Vendors\Anhnt\Library\2. DoEasy. Service functions\Objects\Graph\Extended\GStdTextObjExt.mqh&gt;</t>
  </si>
  <si>
    <t>GStdTrendByAngleObjExt.mqh</t>
  </si>
  <si>
    <t>#include &lt;Vendors\Anhnt\Library\2. DoEasy. Service functions\Objects\Graph\Extended\GStdTrendByAngleObjExt.mqh&gt;</t>
  </si>
  <si>
    <t>GStdTrendObjExt.mqh</t>
  </si>
  <si>
    <t>#include &lt;Vendors\Anhnt\Library\2. DoEasy. Service functions\Objects\Graph\Extended\GStdTrendObjExt.mqh&gt;</t>
  </si>
  <si>
    <t>GStdTrendObjExtExt.mqh</t>
  </si>
  <si>
    <t>#include &lt;Vendors\Anhnt\Library\2. DoEasy. Service functions\Objects\Graph\Extended\GStdTrendObjExtExt.mqh&gt;</t>
  </si>
  <si>
    <t>GStdTriangleObjExt.mqh</t>
  </si>
  <si>
    <t>#include &lt;Vendors\Anhnt\Library\2. DoEasy. Service functions\Objects\Graph\Extended\GStdTriangleObjExt.mqh&gt;</t>
  </si>
  <si>
    <t>GStdVLineObjExt.mqh</t>
  </si>
  <si>
    <t>#include &lt;Vendors\Anhnt\Library\2. DoEasy. Service functions\Objects\Graph\Extended\GStdVLineObjExt.mqh&gt;</t>
  </si>
  <si>
    <t>Include\Vendors\Anhnt\Library\2. DoEasy. Service functions\Objects\Graph\Standard</t>
  </si>
  <si>
    <t>GStdArrowBuyObj.mqh</t>
  </si>
  <si>
    <t>#include &lt;Vendors\Anhnt\Library\2. DoEasy. Service functions\Objects\Graph\Standard\GStdArrowBuyObj.mqh&gt;</t>
  </si>
  <si>
    <t>GStdArrowCheckObj.mqh</t>
  </si>
  <si>
    <t>#include &lt;Vendors\Anhnt\Library\2. DoEasy. Service functions\Objects\Graph\Standard\GStdArrowCheckObj.mqh&gt;</t>
  </si>
  <si>
    <t>GStdArrowDownObj.mqh</t>
  </si>
  <si>
    <t>#include &lt;Vendors\Anhnt\Library\2. DoEasy. Service functions\Objects\Graph\Standard\GStdArrowDownObj.mqh&gt;</t>
  </si>
  <si>
    <t>GStdArrowedLineObj.mqh</t>
  </si>
  <si>
    <t>#include &lt;Vendors\Anhnt\Library\2. DoEasy. Service functions\Objects\Graph\Standard\GStdArrowedLineObj.mqh&gt;</t>
  </si>
  <si>
    <t>GStdArrowLeftPriceObj.mqh</t>
  </si>
  <si>
    <t>#include &lt;Vendors\Anhnt\Library\2. DoEasy. Service functions\Objects\Graph\Standard\GStdArrowLeftPriceObj.mqh&gt;</t>
  </si>
  <si>
    <t>GStdArrowObj.mqh</t>
  </si>
  <si>
    <t>#include &lt;Vendors\Anhnt\Library\2. DoEasy. Service functions\Objects\Graph\Standard\GStdArrowObj.mqh&gt;</t>
  </si>
  <si>
    <t>GStdArrowRightPriceObj.mqh</t>
  </si>
  <si>
    <t>#include &lt;Vendors\Anhnt\Library\2. DoEasy. Service functions\Objects\Graph\Standard\GStdArrowRightPriceObj.mqh&gt;</t>
  </si>
  <si>
    <t>GStdArrowSellObj.mqh</t>
  </si>
  <si>
    <t>#include &lt;Vendors\Anhnt\Library\2. DoEasy. Service functions\Objects\Graph\Standard\GStdArrowSellObj.mqh&gt;</t>
  </si>
  <si>
    <t>GStdArrowStopObj.mqh</t>
  </si>
  <si>
    <t>#include &lt;Vendors\Anhnt\Library\2. DoEasy. Service functions\Objects\Graph\Standard\GStdArrowStopObj.mqh&gt;</t>
  </si>
  <si>
    <t>GStdArrowThumbDownObj.mqh</t>
  </si>
  <si>
    <t>#include &lt;Vendors\Anhnt\Library\2. DoEasy. Service functions\Objects\Graph\Standard\GStdArrowThumbDownObj.mqh&gt;</t>
  </si>
  <si>
    <t>GStdArrowThumbUpObj.mqh</t>
  </si>
  <si>
    <t>#include &lt;Vendors\Anhnt\Library\2. DoEasy. Service functions\Objects\Graph\Standard\GStdArrowThumbUpObj.mqh&gt;</t>
  </si>
  <si>
    <t>GStdArrowUpObj.mqh</t>
  </si>
  <si>
    <t>#include &lt;Vendors\Anhnt\Library\2. DoEasy. Service functions\Objects\Graph\Standard\GStdArrowUpObj.mqh&gt;</t>
  </si>
  <si>
    <t>GStdBitmapLabelObj.mqh</t>
  </si>
  <si>
    <t>#include &lt;Vendors\Anhnt\Library\2. DoEasy. Service functions\Objects\Graph\Standard\GStdBitmapLabelObj.mqh&gt;</t>
  </si>
  <si>
    <t>GStdBitmapObj.mqh</t>
  </si>
  <si>
    <t>#include &lt;Vendors\Anhnt\Library\2. DoEasy. Service functions\Objects\Graph\Standard\GStdBitmapObj.mqh&gt;</t>
  </si>
  <si>
    <t>GStdButtonObj.mqh</t>
  </si>
  <si>
    <t>#include &lt;Vendors\Anhnt\Library\2. DoEasy. Service functions\Objects\Graph\Standard\GStdButtonObj.mqh&gt;</t>
  </si>
  <si>
    <t>GStdChannelObj.mqh</t>
  </si>
  <si>
    <t>#include &lt;Vendors\Anhnt\Library\2. DoEasy. Service functions\Objects\Graph\Standard\GStdChannelObj.mqh&gt;</t>
  </si>
  <si>
    <t>GStdChartObj.mqh</t>
  </si>
  <si>
    <t>#include &lt;Vendors\Anhnt\Library\2. DoEasy. Service functions\Objects\Graph\Standard\GStdChartObj.mqh&gt;</t>
  </si>
  <si>
    <t>GStdCiclesObj.mqh</t>
  </si>
  <si>
    <t>#include &lt;Vendors\Anhnt\Library\2. DoEasy. Service functions\Objects\Graph\Standard\GStdCiclesObj.mqh&gt;</t>
  </si>
  <si>
    <t>GStdEditObj.mqh</t>
  </si>
  <si>
    <t>#include &lt;Vendors\Anhnt\Library\2. DoEasy. Service functions\Objects\Graph\Standard\GStdEditObj.mqh&gt;</t>
  </si>
  <si>
    <t>GStdElliotWave3Obj.mqh</t>
  </si>
  <si>
    <t>#include &lt;Vendors\Anhnt\Library\2. DoEasy. Service functions\Objects\Graph\Standard\GStdElliotWave3Obj.mqh&gt;</t>
  </si>
  <si>
    <t>GStdElliotWave5Obj.mqh</t>
  </si>
  <si>
    <t>#include &lt;Vendors\Anhnt\Library\2. DoEasy. Service functions\Objects\Graph\Standard\GStdElliotWave5Obj.mqh&gt;</t>
  </si>
  <si>
    <t>GStdEllipseObj.mqh</t>
  </si>
  <si>
    <t>#include &lt;Vendors\Anhnt\Library\2. DoEasy. Service functions\Objects\Graph\Standard\GStdEllipseObj.mqh&gt;</t>
  </si>
  <si>
    <t>GStdEventObj.mqh</t>
  </si>
  <si>
    <t>#include &lt;Vendors\Anhnt\Library\2. DoEasy. Service functions\Objects\Graph\Standard\GStdEventObj.mqh&gt;</t>
  </si>
  <si>
    <t>GStdExpansionObj.mqh</t>
  </si>
  <si>
    <t>#include &lt;Vendors\Anhnt\Library\2. DoEasy. Service functions\Objects\Graph\Standard\GStdExpansionObj.mqh&gt;</t>
  </si>
  <si>
    <t>GStdFiboArcObj.mqh</t>
  </si>
  <si>
    <t>#include &lt;Vendors\Anhnt\Library\2. DoEasy. Service functions\Objects\Graph\Standard\GStdFiboArcObj.mqh&gt;</t>
  </si>
  <si>
    <t>GStdFiboChannelObj.mqh</t>
  </si>
  <si>
    <t>#include &lt;Vendors\Anhnt\Library\2. DoEasy. Service functions\Objects\Graph\Standard\GStdFiboChannelObj.mqh&gt;</t>
  </si>
  <si>
    <t>GStdFiboFanObj.mqh</t>
  </si>
  <si>
    <t>#include &lt;Vendors\Anhnt\Library\2. DoEasy. Service functions\Objects\Graph\Standard\GStdFiboFanObj.mqh&gt;</t>
  </si>
  <si>
    <t>GStdFiboObj.mqh</t>
  </si>
  <si>
    <t>#include &lt;Vendors\Anhnt\Library\2. DoEasy. Service functions\Objects\Graph\Standard\GStdFiboObj.mqh&gt;</t>
  </si>
  <si>
    <t>GStdFiboTimesObj.mqh</t>
  </si>
  <si>
    <t>#include &lt;Vendors\Anhnt\Library\2. DoEasy. Service functions\Objects\Graph\Standard\GStdFiboTimesObj.mqh&gt;</t>
  </si>
  <si>
    <t>GStdGannFanObj.mqh</t>
  </si>
  <si>
    <t>#include &lt;Vendors\Anhnt\Library\2. DoEasy. Service functions\Objects\Graph\Standard\GStdGannFanObj.mqh&gt;</t>
  </si>
  <si>
    <t>GStdGannGridObj.mqh</t>
  </si>
  <si>
    <t>#include &lt;Vendors\Anhnt\Library\2. DoEasy. Service functions\Objects\Graph\Standard\GStdGannGridObj.mqh&gt;</t>
  </si>
  <si>
    <t>GStdGannLineObj.mqh</t>
  </si>
  <si>
    <t>#include &lt;Vendors\Anhnt\Library\2. DoEasy. Service functions\Objects\Graph\Standard\GStdGannLineObj.mqh&gt;</t>
  </si>
  <si>
    <t>GStdGraphObj.mqh</t>
  </si>
  <si>
    <t>#include &lt;Vendors\Anhnt\Library\2. DoEasy. Service functions\Objects\Graph\Standard\GStdGraphObj.mqh&gt;</t>
  </si>
  <si>
    <t>GStdHLineObj.mqh</t>
  </si>
  <si>
    <t>#include &lt;Vendors\Anhnt\Library\2. DoEasy. Service functions\Objects\Graph\Standard\GStdHLineObj.mqh&gt;</t>
  </si>
  <si>
    <t>GStdLabelObj.mqh</t>
  </si>
  <si>
    <t>#include &lt;Vendors\Anhnt\Library\2. DoEasy. Service functions\Objects\Graph\Standard\GStdLabelObj.mqh&gt;</t>
  </si>
  <si>
    <t>GStdPitchforkObj.mqh</t>
  </si>
  <si>
    <t>#include &lt;Vendors\Anhnt\Library\2. DoEasy. Service functions\Objects\Graph\Standard\GStdPitchforkObj.mqh&gt;</t>
  </si>
  <si>
    <t>GStdRectangleLabelObj.mqh</t>
  </si>
  <si>
    <t>#include &lt;Vendors\Anhnt\Library\2. DoEasy. Service functions\Objects\Graph\Standard\GStdRectangleLabelObj.mqh&gt;</t>
  </si>
  <si>
    <t>GStdRectangleObj.mqh</t>
  </si>
  <si>
    <t>#include &lt;Vendors\Anhnt\Library\2. DoEasy. Service functions\Objects\Graph\Standard\GStdRectangleObj.mqh&gt;</t>
  </si>
  <si>
    <t>GStdRegressionObj.mqh</t>
  </si>
  <si>
    <t>#include &lt;Vendors\Anhnt\Library\2. DoEasy. Service functions\Objects\Graph\Standard\GStdRegressionObj.mqh&gt;</t>
  </si>
  <si>
    <t>GStdStdDevChannelObj.mqh</t>
  </si>
  <si>
    <t>#include &lt;Vendors\Anhnt\Library\2. DoEasy. Service functions\Objects\Graph\Standard\GStdStdDevChannelObj.mqh&gt;</t>
  </si>
  <si>
    <t>GStdTextObj.mqh</t>
  </si>
  <si>
    <t>#include &lt;Vendors\Anhnt\Library\2. DoEasy. Service functions\Objects\Graph\Standard\GStdTextObj.mqh&gt;</t>
  </si>
  <si>
    <t>GStdTrendByAngleObj.mqh</t>
  </si>
  <si>
    <t>#include &lt;Vendors\Anhnt\Library\2. DoEasy. Service functions\Objects\Graph\Standard\GStdTrendByAngleObj.mqh&gt;</t>
  </si>
  <si>
    <t>GStdTrendObj.mqh</t>
  </si>
  <si>
    <t>#include &lt;Vendors\Anhnt\Library\2. DoEasy. Service functions\Objects\Graph\Standard\GStdTrendObj.mqh&gt;</t>
  </si>
  <si>
    <t>GStdTriangleObj.mqh</t>
  </si>
  <si>
    <t>#include &lt;Vendors\Anhnt\Library\2. DoEasy. Service functions\Objects\Graph\Standard\GStdTriangleObj.mqh&gt;</t>
  </si>
  <si>
    <t>GStdVLineObj.mqh</t>
  </si>
  <si>
    <t>#include &lt;Vendors\Anhnt\Library\2. DoEasy. Service functions\Objects\Graph\Standard\GStdVLineObj.mqh&gt;</t>
  </si>
  <si>
    <t>Include\Vendors\Anhnt\Library\2. DoEasy. Service functions\Objects\Graph\WForms</t>
  </si>
  <si>
    <t>GlareObj.mqh</t>
  </si>
  <si>
    <t>#include &lt;Vendors\Anhnt\Library\2. DoEasy. Service functions\Objects\Graph\WForms\GlareObj.mqh&gt;</t>
  </si>
  <si>
    <t>WinFormBase.mqh</t>
  </si>
  <si>
    <t>#include &lt;Vendors\Anhnt\Library\2. DoEasy. Service functions\Objects\Graph\WForms\WinFormBase.mqh&gt;</t>
  </si>
  <si>
    <t>Include\Vendors\Anhnt\Library\2. DoEasy. Service functions\Objects\Graph\WForms\Common Controls</t>
  </si>
  <si>
    <t>#include &lt;Vendors\Anhnt\Library\2. DoEasy. Service functions\Objects\Graph\WForms\Common Controls\Button.mqh&gt;</t>
  </si>
  <si>
    <t>ButtonListBox.mqh</t>
  </si>
  <si>
    <t>#include &lt;Vendors\Anhnt\Library\2. DoEasy. Service functions\Objects\Graph\WForms\Common Controls\ButtonListBox.mqh&gt;</t>
  </si>
  <si>
    <t>#include &lt;Vendors\Anhnt\Library\2. DoEasy. Service functions\Objects\Graph\WForms\Common Controls\CheckBox.mqh&gt;</t>
  </si>
  <si>
    <t>CheckedListBox.mqh</t>
  </si>
  <si>
    <t>#include &lt;Vendors\Anhnt\Library\2. DoEasy. Service functions\Objects\Graph\WForms\Common Controls\CheckedListBox.mqh&gt;</t>
  </si>
  <si>
    <t>CommonBase.mqh</t>
  </si>
  <si>
    <t>#include &lt;Vendors\Anhnt\Library\2. DoEasy. Service functions\Objects\Graph\WForms\Common Controls\CommonBase.mqh&gt;</t>
  </si>
  <si>
    <t>ElementsListBox.mqh</t>
  </si>
  <si>
    <t>#include &lt;Vendors\Anhnt\Library\2. DoEasy. Service functions\Objects\Graph\WForms\Common Controls\ElementsListBox.mqh&gt;</t>
  </si>
  <si>
    <t>#include &lt;Vendors\Anhnt\Library\2. DoEasy. Service functions\Objects\Graph\WForms\Common Controls\Label.mqh&gt;</t>
  </si>
  <si>
    <t>ListBox.mqh</t>
  </si>
  <si>
    <t>#include &lt;Vendors\Anhnt\Library\2. DoEasy. Service functions\Objects\Graph\WForms\Common Controls\ListBox.mqh&gt;</t>
  </si>
  <si>
    <t>ProgressBar.mqh</t>
  </si>
  <si>
    <t>#include &lt;Vendors\Anhnt\Library\2. DoEasy. Service functions\Objects\Graph\WForms\Common Controls\ProgressBar.mqh&gt;</t>
  </si>
  <si>
    <t>#include &lt;Vendors\Anhnt\Library\2. DoEasy. Service functions\Objects\Graph\WForms\Common Controls\RadioButton.mqh&gt;</t>
  </si>
  <si>
    <t>ToolTip.mqh</t>
  </si>
  <si>
    <t>#include &lt;Vendors\Anhnt\Library\2. DoEasy. Service functions\Objects\Graph\WForms\Common Controls\ToolTip.mqh&gt;</t>
  </si>
  <si>
    <t>Include\Vendors\Anhnt\Library\2. DoEasy. Service functions\Objects\Graph\WForms\Containers</t>
  </si>
  <si>
    <t>#include &lt;Vendors\Anhnt\Library\2. DoEasy. Service functions\Objects\Graph\WForms\Containers\Container.mqh&gt;</t>
  </si>
  <si>
    <t>#include &lt;Vendors\Anhnt\Library\2. DoEasy. Service functions\Objects\Graph\WForms\Containers\GroupBox.mqh&gt;</t>
  </si>
  <si>
    <t>#include &lt;Vendors\Anhnt\Library\2. DoEasy. Service functions\Objects\Graph\WForms\Containers\Panel.mqh&gt;</t>
  </si>
  <si>
    <t>SplitContainer.mqh</t>
  </si>
  <si>
    <t>#include &lt;Vendors\Anhnt\Library\2. DoEasy. Service functions\Objects\Graph\WForms\Containers\SplitContainer.mqh&gt;</t>
  </si>
  <si>
    <t>TabControl.mqh</t>
  </si>
  <si>
    <t>#include &lt;Vendors\Anhnt\Library\2. DoEasy. Service functions\Objects\Graph\WForms\Containers\TabControl.mqh&gt;</t>
  </si>
  <si>
    <t>Include\Vendors\Anhnt\Library\2. DoEasy. Service functions\Objects\Graph\WForms\Helpers</t>
  </si>
  <si>
    <t>ArrowButton.mqh</t>
  </si>
  <si>
    <t>#include &lt;Vendors\Anhnt\Library\2. DoEasy. Service functions\Objects\Graph\WForms\Helpers\ArrowButton.mqh&gt;</t>
  </si>
  <si>
    <t>ArrowDownButton.mqh</t>
  </si>
  <si>
    <t>#include &lt;Vendors\Anhnt\Library\2. DoEasy. Service functions\Objects\Graph\WForms\Helpers\ArrowDownButton.mqh&gt;</t>
  </si>
  <si>
    <t>ArrowLeftButton.mqh</t>
  </si>
  <si>
    <t>#include &lt;Vendors\Anhnt\Library\2. DoEasy. Service functions\Objects\Graph\WForms\Helpers\ArrowLeftButton.mqh&gt;</t>
  </si>
  <si>
    <t>ArrowLeftRightBox.mqh</t>
  </si>
  <si>
    <t>#include &lt;Vendors\Anhnt\Library\2. DoEasy. Service functions\Objects\Graph\WForms\Helpers\ArrowLeftRightBox.mqh&gt;</t>
  </si>
  <si>
    <t>ArrowRightButton.mqh</t>
  </si>
  <si>
    <t>#include &lt;Vendors\Anhnt\Library\2. DoEasy. Service functions\Objects\Graph\WForms\Helpers\ArrowRightButton.mqh&gt;</t>
  </si>
  <si>
    <t>ArrowUpButton.mqh</t>
  </si>
  <si>
    <t>#include &lt;Vendors\Anhnt\Library\2. DoEasy. Service functions\Objects\Graph\WForms\Helpers\ArrowUpButton.mqh&gt;</t>
  </si>
  <si>
    <t>ArrowUpDownBox.mqh</t>
  </si>
  <si>
    <t>#include &lt;Vendors\Anhnt\Library\2. DoEasy. Service functions\Objects\Graph\WForms\Helpers\ArrowUpDownBox.mqh&gt;</t>
  </si>
  <si>
    <t>BarProgressBar.mqh</t>
  </si>
  <si>
    <t>#include &lt;Vendors\Anhnt\Library\2. DoEasy. Service functions\Objects\Graph\WForms\Helpers\BarProgressBar.mqh&gt;</t>
  </si>
  <si>
    <t>HintBase.mqh</t>
  </si>
  <si>
    <t>#include &lt;Vendors\Anhnt\Library\2. DoEasy. Service functions\Objects\Graph\WForms\Helpers\HintBase.mqh&gt;</t>
  </si>
  <si>
    <t>HintMoveDown.mqh</t>
  </si>
  <si>
    <t>#include &lt;Vendors\Anhnt\Library\2. DoEasy. Service functions\Objects\Graph\WForms\Helpers\HintMoveDown.mqh&gt;</t>
  </si>
  <si>
    <t>HintMoveLeft.mqh</t>
  </si>
  <si>
    <t>#include &lt;Vendors\Anhnt\Library\2. DoEasy. Service functions\Objects\Graph\WForms\Helpers\HintMoveLeft.mqh&gt;</t>
  </si>
  <si>
    <t>HintMoveRight.mqh</t>
  </si>
  <si>
    <t>#include &lt;Vendors\Anhnt\Library\2. DoEasy. Service functions\Objects\Graph\WForms\Helpers\HintMoveRight.mqh&gt;</t>
  </si>
  <si>
    <t>HintMoveUp.mqh</t>
  </si>
  <si>
    <t>#include &lt;Vendors\Anhnt\Library\2. DoEasy. Service functions\Objects\Graph\WForms\Helpers\HintMoveUp.mqh&gt;</t>
  </si>
  <si>
    <t>ListBoxItem.mqh</t>
  </si>
  <si>
    <t>#include &lt;Vendors\Anhnt\Library\2. DoEasy. Service functions\Objects\Graph\WForms\Helpers\ListBoxItem.mqh&gt;</t>
  </si>
  <si>
    <t>ScrollBar.mqh</t>
  </si>
  <si>
    <t>#include &lt;Vendors\Anhnt\Library\2. DoEasy. Service functions\Objects\Graph\WForms\Helpers\ScrollBar.mqh&gt;</t>
  </si>
  <si>
    <t>ScrollBarHorisontal.mqh</t>
  </si>
  <si>
    <t>#include &lt;Vendors\Anhnt\Library\2. DoEasy. Service functions\Objects\Graph\WForms\Helpers\ScrollBarHorisontal.mqh&gt;</t>
  </si>
  <si>
    <t>ScrollBarThumb.mqh</t>
  </si>
  <si>
    <t>#include &lt;Vendors\Anhnt\Library\2. DoEasy. Service functions\Objects\Graph\WForms\Helpers\ScrollBarThumb.mqh&gt;</t>
  </si>
  <si>
    <t>ScrollBarVertical.mqh</t>
  </si>
  <si>
    <t>#include &lt;Vendors\Anhnt\Library\2. DoEasy. Service functions\Objects\Graph\WForms\Helpers\ScrollBarVertical.mqh&gt;</t>
  </si>
  <si>
    <t>SplitContainerPanel.mqh</t>
  </si>
  <si>
    <t>#include &lt;Vendors\Anhnt\Library\2. DoEasy. Service functions\Objects\Graph\WForms\Helpers\SplitContainerPanel.mqh&gt;</t>
  </si>
  <si>
    <t>Splitter.mqh</t>
  </si>
  <si>
    <t>#include &lt;Vendors\Anhnt\Library\2. DoEasy. Service functions\Objects\Graph\WForms\Helpers\Splitter.mqh&gt;</t>
  </si>
  <si>
    <t>TabField.mqh</t>
  </si>
  <si>
    <t>#include &lt;Vendors\Anhnt\Library\2. DoEasy. Service functions\Objects\Graph\WForms\Helpers\TabField.mqh&gt;</t>
  </si>
  <si>
    <t>TabHeader.mqh</t>
  </si>
  <si>
    <t>#include &lt;Vendors\Anhnt\Library\2. DoEasy. Service functions\Objects\Graph\WForms\Helpers\TabHeader.mqh&gt;</t>
  </si>
  <si>
    <t>Include\Vendors\Anhnt\Library\2. DoEasy. Service functions\Objects\Indicators</t>
  </si>
  <si>
    <t>Buffer.mqh</t>
  </si>
  <si>
    <t>#include &lt;Vendors\Anhnt\Library\2. DoEasy. Service functions\Objects\Indicators\Buffer.mqh&gt;</t>
  </si>
  <si>
    <t>BufferArrow.mqh</t>
  </si>
  <si>
    <t>#include &lt;Vendors\Anhnt\Library\2. DoEasy. Service functions\Objects\Indicators\BufferArrow.mqh&gt;</t>
  </si>
  <si>
    <t>BufferBars.mqh</t>
  </si>
  <si>
    <t>#include &lt;Vendors\Anhnt\Library\2. DoEasy. Service functions\Objects\Indicators\BufferBars.mqh&gt;</t>
  </si>
  <si>
    <t>BufferCalculate.mqh</t>
  </si>
  <si>
    <t>#include &lt;Vendors\Anhnt\Library\2. DoEasy. Service functions\Objects\Indicators\BufferCalculate.mqh&gt;</t>
  </si>
  <si>
    <t>BufferCandles.mqh</t>
  </si>
  <si>
    <t>#include &lt;Vendors\Anhnt\Library\2. DoEasy. Service functions\Objects\Indicators\BufferCandles.mqh&gt;</t>
  </si>
  <si>
    <t>BufferFilling.mqh</t>
  </si>
  <si>
    <t>#include &lt;Vendors\Anhnt\Library\2. DoEasy. Service functions\Objects\Indicators\BufferFilling.mqh&gt;</t>
  </si>
  <si>
    <t>BufferHistogram.mqh</t>
  </si>
  <si>
    <t>#include &lt;Vendors\Anhnt\Library\2. DoEasy. Service functions\Objects\Indicators\BufferHistogram.mqh&gt;</t>
  </si>
  <si>
    <t>BufferHistogram2.mqh</t>
  </si>
  <si>
    <t>#include &lt;Vendors\Anhnt\Library\2. DoEasy. Service functions\Objects\Indicators\BufferHistogram2.mqh&gt;</t>
  </si>
  <si>
    <t>BufferLine.mqh</t>
  </si>
  <si>
    <t>#include &lt;Vendors\Anhnt\Library\2. DoEasy. Service functions\Objects\Indicators\BufferLine.mqh&gt;</t>
  </si>
  <si>
    <t>BufferSection.mqh</t>
  </si>
  <si>
    <t>#include &lt;Vendors\Anhnt\Library\2. DoEasy. Service functions\Objects\Indicators\BufferSection.mqh&gt;</t>
  </si>
  <si>
    <t>BufferZigZag.mqh</t>
  </si>
  <si>
    <t>#include &lt;Vendors\Anhnt\Library\2. DoEasy. Service functions\Objects\Indicators\BufferZigZag.mqh&gt;</t>
  </si>
  <si>
    <t>DataInd.mqh</t>
  </si>
  <si>
    <t>#include &lt;Vendors\Anhnt\Library\2. DoEasy. Service functions\Objects\Indicators\DataInd.mqh&gt;</t>
  </si>
  <si>
    <t>IndicatorDE.mqh</t>
  </si>
  <si>
    <t>#include &lt;Vendors\Anhnt\Library\2. DoEasy. Service functions\Objects\Indicators\IndicatorDE.mqh&gt;</t>
  </si>
  <si>
    <t>SeriesDataInd.mqh</t>
  </si>
  <si>
    <t>#include &lt;Vendors\Anhnt\Library\2. DoEasy. Service functions\Objects\Indicators\SeriesDataInd.mqh&gt;</t>
  </si>
  <si>
    <t>Include\Vendors\Anhnt\Library\2. DoEasy. Service functions\Objects\Indicators\Standard</t>
  </si>
  <si>
    <t>IndAC.mqh</t>
  </si>
  <si>
    <t>#include &lt;Vendors\Anhnt\Library\2. DoEasy. Service functions\Objects\Indicators\Standard\IndAC.mqh&gt;</t>
  </si>
  <si>
    <t>IndAD.mqh</t>
  </si>
  <si>
    <t>#include &lt;Vendors\Anhnt\Library\2. DoEasy. Service functions\Objects\Indicators\Standard\IndAD.mqh&gt;</t>
  </si>
  <si>
    <t>IndADX.mqh</t>
  </si>
  <si>
    <t>#include &lt;Vendors\Anhnt\Library\2. DoEasy. Service functions\Objects\Indicators\Standard\IndADX.mqh&gt;</t>
  </si>
  <si>
    <t>IndADXW.mqh</t>
  </si>
  <si>
    <t>#include &lt;Vendors\Anhnt\Library\2. DoEasy. Service functions\Objects\Indicators\Standard\IndADXW.mqh&gt;</t>
  </si>
  <si>
    <t>IndAlligator.mqh</t>
  </si>
  <si>
    <t>#include &lt;Vendors\Anhnt\Library\2. DoEasy. Service functions\Objects\Indicators\Standard\IndAlligator.mqh&gt;</t>
  </si>
  <si>
    <t>IndAMA.mqh</t>
  </si>
  <si>
    <t>#include &lt;Vendors\Anhnt\Library\2. DoEasy. Service functions\Objects\Indicators\Standard\IndAMA.mqh&gt;</t>
  </si>
  <si>
    <t>IndAO.mqh</t>
  </si>
  <si>
    <t>#include &lt;Vendors\Anhnt\Library\2. DoEasy. Service functions\Objects\Indicators\Standard\IndAO.mqh&gt;</t>
  </si>
  <si>
    <t>IndATR.mqh</t>
  </si>
  <si>
    <t>#include &lt;Vendors\Anhnt\Library\2. DoEasy. Service functions\Objects\Indicators\Standard\IndATR.mqh&gt;</t>
  </si>
  <si>
    <t>IndBands.mqh</t>
  </si>
  <si>
    <t>#include &lt;Vendors\Anhnt\Library\2. DoEasy. Service functions\Objects\Indicators\Standard\IndBands.mqh&gt;</t>
  </si>
  <si>
    <t>IndBears.mqh</t>
  </si>
  <si>
    <t>#include &lt;Vendors\Anhnt\Library\2. DoEasy. Service functions\Objects\Indicators\Standard\IndBears.mqh&gt;</t>
  </si>
  <si>
    <t>IndBulls.mqh</t>
  </si>
  <si>
    <t>#include &lt;Vendors\Anhnt\Library\2. DoEasy. Service functions\Objects\Indicators\Standard\IndBulls.mqh&gt;</t>
  </si>
  <si>
    <t>IndBWMFI.mqh</t>
  </si>
  <si>
    <t>#include &lt;Vendors\Anhnt\Library\2. DoEasy. Service functions\Objects\Indicators\Standard\IndBWMFI.mqh&gt;</t>
  </si>
  <si>
    <t>IndCCI.mqh</t>
  </si>
  <si>
    <t>#include &lt;Vendors\Anhnt\Library\2. DoEasy. Service functions\Objects\Indicators\Standard\IndCCI.mqh&gt;</t>
  </si>
  <si>
    <t>IndChaikin.mqh</t>
  </si>
  <si>
    <t>#include &lt;Vendors\Anhnt\Library\2. DoEasy. Service functions\Objects\Indicators\Standard\IndChaikin.mqh&gt;</t>
  </si>
  <si>
    <t>IndCustom.mqh</t>
  </si>
  <si>
    <t>#include &lt;Vendors\Anhnt\Library\2. DoEasy. Service functions\Objects\Indicators\Standard\IndCustom.mqh&gt;</t>
  </si>
  <si>
    <t>IndDEMA.mqh</t>
  </si>
  <si>
    <t>#include &lt;Vendors\Anhnt\Library\2. DoEasy. Service functions\Objects\Indicators\Standard\IndDEMA.mqh&gt;</t>
  </si>
  <si>
    <t>IndDeMarker.mqh</t>
  </si>
  <si>
    <t>#include &lt;Vendors\Anhnt\Library\2. DoEasy. Service functions\Objects\Indicators\Standard\IndDeMarker.mqh&gt;</t>
  </si>
  <si>
    <t>IndEnvelopes.mqh</t>
  </si>
  <si>
    <t>#include &lt;Vendors\Anhnt\Library\2. DoEasy. Service functions\Objects\Indicators\Standard\IndEnvelopes.mqh&gt;</t>
  </si>
  <si>
    <t>IndForce.mqh</t>
  </si>
  <si>
    <t>#include &lt;Vendors\Anhnt\Library\2. DoEasy. Service functions\Objects\Indicators\Standard\IndForce.mqh&gt;</t>
  </si>
  <si>
    <t>IndFractals.mqh</t>
  </si>
  <si>
    <t>#include &lt;Vendors\Anhnt\Library\2. DoEasy. Service functions\Objects\Indicators\Standard\IndFractals.mqh&gt;</t>
  </si>
  <si>
    <t>IndFRAMA.mqh</t>
  </si>
  <si>
    <t>#include &lt;Vendors\Anhnt\Library\2. DoEasy. Service functions\Objects\Indicators\Standard\IndFRAMA.mqh&gt;</t>
  </si>
  <si>
    <t>IndGator.mqh</t>
  </si>
  <si>
    <t>#include &lt;Vendors\Anhnt\Library\2. DoEasy. Service functions\Objects\Indicators\Standard\IndGator.mqh&gt;</t>
  </si>
  <si>
    <t>IndIchimoku.mqh</t>
  </si>
  <si>
    <t>#include &lt;Vendors\Anhnt\Library\2. DoEasy. Service functions\Objects\Indicators\Standard\IndIchimoku.mqh&gt;</t>
  </si>
  <si>
    <t>IndMA.mqh</t>
  </si>
  <si>
    <t>#include &lt;Vendors\Anhnt\Library\2. DoEasy. Service functions\Objects\Indicators\Standard\IndMA.mqh&gt;</t>
  </si>
  <si>
    <t>IndMACD.mqh</t>
  </si>
  <si>
    <t>#include &lt;Vendors\Anhnt\Library\2. DoEasy. Service functions\Objects\Indicators\Standard\IndMACD.mqh&gt;</t>
  </si>
  <si>
    <t>IndMFI.mqh</t>
  </si>
  <si>
    <t>#include &lt;Vendors\Anhnt\Library\2. DoEasy. Service functions\Objects\Indicators\Standard\IndMFI.mqh&gt;</t>
  </si>
  <si>
    <t>IndMomentum.mqh</t>
  </si>
  <si>
    <t>#include &lt;Vendors\Anhnt\Library\2. DoEasy. Service functions\Objects\Indicators\Standard\IndMomentum.mqh&gt;</t>
  </si>
  <si>
    <t>IndOBV.mqh</t>
  </si>
  <si>
    <t>#include &lt;Vendors\Anhnt\Library\2. DoEasy. Service functions\Objects\Indicators\Standard\IndOBV.mqh&gt;</t>
  </si>
  <si>
    <t>IndOsMA.mqh</t>
  </si>
  <si>
    <t>#include &lt;Vendors\Anhnt\Library\2. DoEasy. Service functions\Objects\Indicators\Standard\IndOsMA.mqh&gt;</t>
  </si>
  <si>
    <t>IndRSI.mqh</t>
  </si>
  <si>
    <t>#include &lt;Vendors\Anhnt\Library\2. DoEasy. Service functions\Objects\Indicators\Standard\IndRSI.mqh&gt;</t>
  </si>
  <si>
    <t>IndRVI.mqh</t>
  </si>
  <si>
    <t>#include &lt;Vendors\Anhnt\Library\2. DoEasy. Service functions\Objects\Indicators\Standard\IndRVI.mqh&gt;</t>
  </si>
  <si>
    <t>IndSAR.mqh</t>
  </si>
  <si>
    <t>#include &lt;Vendors\Anhnt\Library\2. DoEasy. Service functions\Objects\Indicators\Standard\IndSAR.mqh&gt;</t>
  </si>
  <si>
    <t>IndStDev.mqh</t>
  </si>
  <si>
    <t>#include &lt;Vendors\Anhnt\Library\2. DoEasy. Service functions\Objects\Indicators\Standard\IndStDev.mqh&gt;</t>
  </si>
  <si>
    <t>IndStoch.mqh</t>
  </si>
  <si>
    <t>#include &lt;Vendors\Anhnt\Library\2. DoEasy. Service functions\Objects\Indicators\Standard\IndStoch.mqh&gt;</t>
  </si>
  <si>
    <t>IndTEMA.mqh</t>
  </si>
  <si>
    <t>#include &lt;Vendors\Anhnt\Library\2. DoEasy. Service functions\Objects\Indicators\Standard\IndTEMA.mqh&gt;</t>
  </si>
  <si>
    <t>IndTRIX.mqh</t>
  </si>
  <si>
    <t>#include &lt;Vendors\Anhnt\Library\2. DoEasy. Service functions\Objects\Indicators\Standard\IndTRIX.mqh&gt;</t>
  </si>
  <si>
    <t>IndVIDYA.mqh</t>
  </si>
  <si>
    <t>#include &lt;Vendors\Anhnt\Library\2. DoEasy. Service functions\Objects\Indicators\Standard\IndVIDYA.mqh&gt;</t>
  </si>
  <si>
    <t>IndVolumes.mqh</t>
  </si>
  <si>
    <t>#include &lt;Vendors\Anhnt\Library\2. DoEasy. Service functions\Objects\Indicators\Standard\IndVolumes.mqh&gt;</t>
  </si>
  <si>
    <t>IndWPR.mqh</t>
  </si>
  <si>
    <t>#include &lt;Vendors\Anhnt\Library\2. DoEasy. Service functions\Objects\Indicators\Standard\IndWPR.mqh&gt;</t>
  </si>
  <si>
    <t>Include\Vendors\Anhnt\Library\2. DoEasy. Service functions\Objects\MQLSignalBase</t>
  </si>
  <si>
    <t>MQLSignal.mqh</t>
  </si>
  <si>
    <t>#include &lt;Vendors\Anhnt\Library\2. DoEasy. Service functions\Objects\MQLSignalBase\MQLSignal.mqh&gt;</t>
  </si>
  <si>
    <t>Include\Vendors\Anhnt\Library\2. DoEasy. Service functions\Objects\Orders</t>
  </si>
  <si>
    <t>HistoryBalance.mqh</t>
  </si>
  <si>
    <t>#include &lt;Vendors\Anhnt\Library\2. DoEasy. Service functions\Objects\Orders\HistoryBalance.mqh&gt;</t>
  </si>
  <si>
    <t>HistoryDeal.mqh</t>
  </si>
  <si>
    <t>#include &lt;Vendors\Anhnt\Library\2. DoEasy. Service functions\Objects\Orders\HistoryDeal.mqh&gt;</t>
  </si>
  <si>
    <t>HistoryOrder.mqh</t>
  </si>
  <si>
    <t>#include &lt;Vendors\Anhnt\Library\2. DoEasy. Service functions\Objects\Orders\HistoryOrder.mqh&gt;</t>
  </si>
  <si>
    <t>HistoryPending.mqh</t>
  </si>
  <si>
    <t>#include &lt;Vendors\Anhnt\Library\2. DoEasy. Service functions\Objects\Orders\HistoryPending.mqh&gt;</t>
  </si>
  <si>
    <t>MarketOrder.mqh</t>
  </si>
  <si>
    <t>#include &lt;Vendors\Anhnt\Library\2. DoEasy. Service functions\Objects\Orders\MarketOrder.mqh&gt;</t>
  </si>
  <si>
    <t>MarketPending.mqh</t>
  </si>
  <si>
    <t>#include &lt;Vendors\Anhnt\Library\2. DoEasy. Service functions\Objects\Orders\MarketPending.mqh&gt;</t>
  </si>
  <si>
    <t>MarketPosition.mqh</t>
  </si>
  <si>
    <t>#include &lt;Vendors\Anhnt\Library\2. DoEasy. Service functions\Objects\Orders\MarketPosition.mqh&gt;</t>
  </si>
  <si>
    <t>Order.mqh</t>
  </si>
  <si>
    <t>#include &lt;Vendors\Anhnt\Library\2. DoEasy. Service functions\Objects\Orders\Order.mqh&gt;</t>
  </si>
  <si>
    <t>Include\Vendors\Anhnt\Library\2. DoEasy. Service functions\Objects\PendRequest</t>
  </si>
  <si>
    <t>PendReqClose.mqh</t>
  </si>
  <si>
    <t>#include &lt;Vendors\Anhnt\Library\2. DoEasy. Service functions\Objects\PendRequest\PendReqClose.mqh&gt;</t>
  </si>
  <si>
    <t>PendReqModify.mqh</t>
  </si>
  <si>
    <t>#include &lt;Vendors\Anhnt\Library\2. DoEasy. Service functions\Objects\PendRequest\PendReqModify.mqh&gt;</t>
  </si>
  <si>
    <t>PendReqOpen.mqh</t>
  </si>
  <si>
    <t>#include &lt;Vendors\Anhnt\Library\2. DoEasy. Service functions\Objects\PendRequest\PendReqOpen.mqh&gt;</t>
  </si>
  <si>
    <t>PendReqPlace.mqh</t>
  </si>
  <si>
    <t>#include &lt;Vendors\Anhnt\Library\2. DoEasy. Service functions\Objects\PendRequest\PendReqPlace.mqh&gt;</t>
  </si>
  <si>
    <t>PendReqRemove.mqh</t>
  </si>
  <si>
    <t>#include &lt;Vendors\Anhnt\Library\2. DoEasy. Service functions\Objects\PendRequest\PendReqRemove.mqh&gt;</t>
  </si>
  <si>
    <t>PendReqSLTP.mqh</t>
  </si>
  <si>
    <t>#include &lt;Vendors\Anhnt\Library\2. DoEasy. Service functions\Objects\PendRequest\PendReqSLTP.mqh&gt;</t>
  </si>
  <si>
    <t>PendRequest.mqh</t>
  </si>
  <si>
    <t>#include &lt;Vendors\Anhnt\Library\2. DoEasy. Service functions\Objects\PendRequest\PendRequest.mqh&gt;</t>
  </si>
  <si>
    <t>Include\Vendors\Anhnt\Library\2. DoEasy. Service functions\Objects\Series</t>
  </si>
  <si>
    <t>Bar.mqh</t>
  </si>
  <si>
    <t>#include &lt;Vendors\Anhnt\Library\2. DoEasy. Service functions\Objects\Series\Bar.mqh&gt;</t>
  </si>
  <si>
    <t>SeriesDE.mqh</t>
  </si>
  <si>
    <t>#include &lt;Vendors\Anhnt\Library\2. DoEasy. Service functions\Objects\Series\SeriesDE.mqh&gt;</t>
  </si>
  <si>
    <t>TimeSeriesDE.mqh</t>
  </si>
  <si>
    <t>#include &lt;Vendors\Anhnt\Library\2. DoEasy. Service functions\Objects\Series\TimeSeriesDE.mqh&gt;</t>
  </si>
  <si>
    <t>Include\Vendors\Anhnt\Library\2. DoEasy. Service functions\Objects\Series\Patterns</t>
  </si>
  <si>
    <t>Pattern.mqh</t>
  </si>
  <si>
    <t>#include &lt;Vendors\Anhnt\Library\2. DoEasy. Service functions\Objects\Series\Patterns\Pattern.mqh&gt;</t>
  </si>
  <si>
    <t>PatternControl.mqh</t>
  </si>
  <si>
    <t>#include &lt;Vendors\Anhnt\Library\2. DoEasy. Service functions\Objects\Series\Patterns\PatternControl.mqh&gt;</t>
  </si>
  <si>
    <t>PatternInsideBar.mqh</t>
  </si>
  <si>
    <t>#include &lt;Vendors\Anhnt\Library\2. DoEasy. Service functions\Objects\Series\Patterns\PatternInsideBar.mqh&gt;</t>
  </si>
  <si>
    <t>PatternOutsideBar.mqh</t>
  </si>
  <si>
    <t>#include &lt;Vendors\Anhnt\Library\2. DoEasy. Service functions\Objects\Series\Patterns\PatternOutsideBar.mqh&gt;</t>
  </si>
  <si>
    <t>PatternPinBar.mqh</t>
  </si>
  <si>
    <t>#include &lt;Vendors\Anhnt\Library\2. DoEasy. Service functions\Objects\Series\Patterns\PatternPinBar.mqh&gt;</t>
  </si>
  <si>
    <t>PatternsControl.mqh</t>
  </si>
  <si>
    <t>#include &lt;Vendors\Anhnt\Library\2. DoEasy. Service functions\Objects\Series\Patterns\PatternsControl.mqh&gt;</t>
  </si>
  <si>
    <t>Include\Vendors\Anhnt\Library\2. DoEasy. Service functions\Objects\Symbols</t>
  </si>
  <si>
    <t>Symbol.mqh</t>
  </si>
  <si>
    <t>#include &lt;Vendors\Anhnt\Library\2. DoEasy. Service functions\Objects\Symbols\Symbol.mqh&gt;</t>
  </si>
  <si>
    <t>SymbolBonds.mqh</t>
  </si>
  <si>
    <t>#include &lt;Vendors\Anhnt\Library\2. DoEasy. Service functions\Objects\Symbols\SymbolBonds.mqh&gt;</t>
  </si>
  <si>
    <t>SymbolCFD.mqh</t>
  </si>
  <si>
    <t>#include &lt;Vendors\Anhnt\Library\2. DoEasy. Service functions\Objects\Symbols\SymbolCFD.mqh&gt;</t>
  </si>
  <si>
    <t>SymbolCollateral.mqh</t>
  </si>
  <si>
    <t>#include &lt;Vendors\Anhnt\Library\2. DoEasy. Service functions\Objects\Symbols\SymbolCollateral.mqh&gt;</t>
  </si>
  <si>
    <t>SymbolCommodity.mqh</t>
  </si>
  <si>
    <t>#include &lt;Vendors\Anhnt\Library\2. DoEasy. Service functions\Objects\Symbols\SymbolCommodity.mqh&gt;</t>
  </si>
  <si>
    <t>SymbolCommon.mqh</t>
  </si>
  <si>
    <t>#include &lt;Vendors\Anhnt\Library\2. DoEasy. Service functions\Objects\Symbols\SymbolCommon.mqh&gt;</t>
  </si>
  <si>
    <t>SymbolCrypto.mqh</t>
  </si>
  <si>
    <t>#include &lt;Vendors\Anhnt\Library\2. DoEasy. Service functions\Objects\Symbols\SymbolCrypto.mqh&gt;</t>
  </si>
  <si>
    <t>SymbolCustom.mqh</t>
  </si>
  <si>
    <t>#include &lt;Vendors\Anhnt\Library\2. DoEasy. Service functions\Objects\Symbols\SymbolCustom.mqh&gt;</t>
  </si>
  <si>
    <t>SymbolExchange.mqh</t>
  </si>
  <si>
    <t>#include &lt;Vendors\Anhnt\Library\2. DoEasy. Service functions\Objects\Symbols\SymbolExchange.mqh&gt;</t>
  </si>
  <si>
    <t>SymbolFutures.mqh</t>
  </si>
  <si>
    <t>#include &lt;Vendors\Anhnt\Library\2. DoEasy. Service functions\Objects\Symbols\SymbolFutures.mqh&gt;</t>
  </si>
  <si>
    <t>SymbolFX.mqh</t>
  </si>
  <si>
    <t>#include &lt;Vendors\Anhnt\Library\2. DoEasy. Service functions\Objects\Symbols\SymbolFX.mqh&gt;</t>
  </si>
  <si>
    <t>SymbolFXExotic.mqh</t>
  </si>
  <si>
    <t>#include &lt;Vendors\Anhnt\Library\2. DoEasy. Service functions\Objects\Symbols\SymbolFXExotic.mqh&gt;</t>
  </si>
  <si>
    <t>SymbolFXMajor.mqh</t>
  </si>
  <si>
    <t>#include &lt;Vendors\Anhnt\Library\2. DoEasy. Service functions\Objects\Symbols\SymbolFXMajor.mqh&gt;</t>
  </si>
  <si>
    <t>SymbolFXMinor.mqh</t>
  </si>
  <si>
    <t>#include &lt;Vendors\Anhnt\Library\2. DoEasy. Service functions\Objects\Symbols\SymbolFXMinor.mqh&gt;</t>
  </si>
  <si>
    <t>SymbolFXRub.mqh</t>
  </si>
  <si>
    <t>#include &lt;Vendors\Anhnt\Library\2. DoEasy. Service functions\Objects\Symbols\SymbolFXRub.mqh&gt;</t>
  </si>
  <si>
    <t>SymbolIndex.mqh</t>
  </si>
  <si>
    <t>#include &lt;Vendors\Anhnt\Library\2. DoEasy. Service functions\Objects\Symbols\SymbolIndex.mqh&gt;</t>
  </si>
  <si>
    <t>SymbolIndicative.mqh</t>
  </si>
  <si>
    <t>#include &lt;Vendors\Anhnt\Library\2. DoEasy. Service functions\Objects\Symbols\SymbolIndicative.mqh&gt;</t>
  </si>
  <si>
    <t>SymbolMetall.mqh</t>
  </si>
  <si>
    <t>#include &lt;Vendors\Anhnt\Library\2. DoEasy. Service functions\Objects\Symbols\SymbolMetall.mqh&gt;</t>
  </si>
  <si>
    <t>SymbolOption.mqh</t>
  </si>
  <si>
    <t>#include &lt;Vendors\Anhnt\Library\2. DoEasy. Service functions\Objects\Symbols\SymbolOption.mqh&gt;</t>
  </si>
  <si>
    <t>SymbolStocks.mqh</t>
  </si>
  <si>
    <t>#include &lt;Vendors\Anhnt\Library\2. DoEasy. Service functions\Objects\Symbols\SymbolStocks.mqh&gt;</t>
  </si>
  <si>
    <t>Include\Vendors\Anhnt\Library\2. DoEasy. Service functions\Objects\Ticks</t>
  </si>
  <si>
    <t>DataTick.mqh</t>
  </si>
  <si>
    <t>#include &lt;Vendors\Anhnt\Library\2. DoEasy. Service functions\Objects\Ticks\DataTick.mqh&gt;</t>
  </si>
  <si>
    <t>NewTickObj.mqh</t>
  </si>
  <si>
    <t>#include &lt;Vendors\Anhnt\Library\2. DoEasy. Service functions\Objects\Ticks\NewTickObj.mqh&gt;</t>
  </si>
  <si>
    <t>TickSeries.mqh</t>
  </si>
  <si>
    <t>#include &lt;Vendors\Anhnt\Library\2. DoEasy. Service functions\Objects\Ticks\TickSeries.mqh&gt;</t>
  </si>
  <si>
    <t>Include\Vendors\Anhnt\Library\2. DoEasy. Service functions\Objects\Trade</t>
  </si>
  <si>
    <t>TradeObj.mqh</t>
  </si>
  <si>
    <t>#include &lt;Vendors\Anhnt\Library\2. DoEasy. Service functions\Objects\Trade\TradeObj.mqh&gt;</t>
  </si>
  <si>
    <t>Include\Vendors\Anhnt\Library\2. DoEasy. Service functions\Services</t>
  </si>
  <si>
    <t>Colors.mqh</t>
  </si>
  <si>
    <t>#include &lt;Vendors\Anhnt\Library\2. DoEasy. Service functions\Services\Colors.mqh&gt;</t>
  </si>
  <si>
    <t>#include &lt;Vendors\Anhnt\Library\2. DoEasy. Service functions\Services\DELib.mqh&gt;</t>
  </si>
  <si>
    <t>FileGen.mqh</t>
  </si>
  <si>
    <t>#include &lt;Vendors\Anhnt\Library\2. DoEasy. Service functions\Services\FileGen.mqh&gt;</t>
  </si>
  <si>
    <t>Message.mqh</t>
  </si>
  <si>
    <t>#include &lt;Vendors\Anhnt\Library\2. DoEasy. Service functions\Services\Message.mqh&gt;</t>
  </si>
  <si>
    <t>MouseState.mqh</t>
  </si>
  <si>
    <t>#include &lt;Vendors\Anhnt\Library\2. DoEasy. Service functions\Services\MouseState.mqh&gt;</t>
  </si>
  <si>
    <t>NewBarObj.mqh</t>
  </si>
  <si>
    <t>#include &lt;Vendors\Anhnt\Library\2. DoEasy. Service functions\Services\NewBarObj.mqh&gt;</t>
  </si>
  <si>
    <t>Pause.mqh</t>
  </si>
  <si>
    <t>#include &lt;Vendors\Anhnt\Library\2. DoEasy. Service functions\Services\Pause.mqh&gt;</t>
  </si>
  <si>
    <t>Properties.mqh</t>
  </si>
  <si>
    <t>#include &lt;Vendors\Anhnt\Library\2. DoEasy. Service functions\Services\Properties.mqh&gt;</t>
  </si>
  <si>
    <t>Select.mqh</t>
  </si>
  <si>
    <t>#include &lt;Vendors\Anhnt\Library\2. DoEasy. Service functions\Services\Select.mqh&gt;</t>
  </si>
  <si>
    <t>TimerCounter.mqh</t>
  </si>
  <si>
    <t>#include &lt;Vendors\Anhnt\Library\2. DoEasy. Service functions\Services\TimerCounter.mqh&gt;</t>
  </si>
  <si>
    <t>XDimArray.mqh</t>
  </si>
  <si>
    <t>#include &lt;Vendors\Anhnt\Library\2. DoEasy. Service functions\Services\XDimArray.mqh&gt;</t>
  </si>
  <si>
    <t>object</t>
  </si>
  <si>
    <t>#include "..\..\Data.mqh"</t>
  </si>
  <si>
    <t>#include &lt;Vendors\Anhnt\Library\2. DoEasy. Service functions Lib\Data.mqh&gt;</t>
  </si>
  <si>
    <t>#include "..\..\DataIMG.mqh"</t>
  </si>
  <si>
    <t>#include &lt;Vendors\Anhnt\Library\2. DoEasy. Service functions Lib\DataIMG.mqh&gt;</t>
  </si>
  <si>
    <t>#include "..\..\DataSND.mqh"</t>
  </si>
  <si>
    <t>#include &lt;Vendors\Anhnt\Library\2. DoEasy. Service functions Lib\DataSND.mqh&gt;</t>
  </si>
  <si>
    <t>#include "..\..\Defines.mqh"</t>
  </si>
  <si>
    <t>#include &lt;Vendors\Anhnt\Library\2. DoEasy. Service functions Lib\Defines.mqh&gt;</t>
  </si>
  <si>
    <t>CEngine</t>
  </si>
  <si>
    <t>#include "..\..\Engine.mqh"</t>
  </si>
  <si>
    <t>#include &lt;Vendors\Anhnt\Library\2. DoEasy. Service functions Lib\Engine.mqh&gt;</t>
  </si>
  <si>
    <t>#include "..\..\GraphINI.mqh"</t>
  </si>
  <si>
    <t>#include &lt;Vendors\Anhnt\Library\2. DoEasy. Service functions Lib\GraphINI.mqh&gt;</t>
  </si>
  <si>
    <t>#include "..\..\InpData.mqh"</t>
  </si>
  <si>
    <t>#include &lt;Vendors\Anhnt\Library\2. DoEasy. Service functions Lib\InpData.mqh&gt;</t>
  </si>
  <si>
    <t>#include "..\..\InpDatas.mqh"</t>
  </si>
  <si>
    <t>#include &lt;Vendors\Anhnt\Library\2. DoEasy. Service functions Lib\InpDatas.mqh&gt;</t>
  </si>
  <si>
    <t>#include "..\..\ToMQL4.mqh"</t>
  </si>
  <si>
    <t>#include &lt;Vendors\Anhnt\Library\2. DoEasy. Service functions Lib\ToMQL4.mqh&gt;</t>
  </si>
  <si>
    <t>CTrading</t>
  </si>
  <si>
    <t>CBaseObjExt</t>
  </si>
  <si>
    <t>#include "..\..\Trading.mqh"</t>
  </si>
  <si>
    <t>#include &lt;Vendors\Anhnt\Library\2. DoEasy. Service functions Lib\Trading.mqh&gt;</t>
  </si>
  <si>
    <t>CTradingControl</t>
  </si>
  <si>
    <t>#include "..\..\TradingControl.mqh"</t>
  </si>
  <si>
    <t>#include &lt;Vendors\Anhnt\Library\2. DoEasy. Service functions Lib\TradingControl.mqh&gt;</t>
  </si>
  <si>
    <t>Collections</t>
  </si>
  <si>
    <t>CAccountsCollection</t>
  </si>
  <si>
    <t>#include "..\..\Collections\AccountsCollection.mqh"</t>
  </si>
  <si>
    <t>#include &lt;Vendors\Anhnt\Library\2. DoEasy. Service functions Lib\Collections\AccountsCollection.mqh&gt;</t>
  </si>
  <si>
    <t>CMBookSeriesCollection</t>
  </si>
  <si>
    <t>#include "..\..\Collections\BookSeriesCollection.mqh"</t>
  </si>
  <si>
    <t>#include &lt;Vendors\Anhnt\Library\2. DoEasy. Service functions Lib\Collections\BookSeriesCollection.mqh&gt;</t>
  </si>
  <si>
    <t>CBuffersCollection</t>
  </si>
  <si>
    <t>#include "..\..\Collections\BuffersCollection.mqh"</t>
  </si>
  <si>
    <t>#include &lt;Vendors\Anhnt\Library\2. DoEasy. Service functions Lib\Collections\BuffersCollection.mqh&gt;</t>
  </si>
  <si>
    <t>CChartObjCollection</t>
  </si>
  <si>
    <t>#include "..\..\Collections\ChartObjCollection.mqh"</t>
  </si>
  <si>
    <t>#include &lt;Vendors\Anhnt\Library\2. DoEasy. Service functions Lib\Collections\ChartObjCollection.mqh&gt;</t>
  </si>
  <si>
    <t>CEventsCollection</t>
  </si>
  <si>
    <t>#include "..\..\Collections\EventsCollection.mqh"</t>
  </si>
  <si>
    <t>#include &lt;Vendors\Anhnt\Library\2. DoEasy. Service functions Lib\Collections\EventsCollection.mqh&gt;</t>
  </si>
  <si>
    <t>CChartObjectsControl</t>
  </si>
  <si>
    <t>#include "..\..\Collections\GraphElementsCollection.mqh"</t>
  </si>
  <si>
    <t>#include &lt;Vendors\Anhnt\Library\2. DoEasy. Service functions Lib\Collections\GraphElementsCollection.mqh&gt;</t>
  </si>
  <si>
    <t>CGraphElementsCollection</t>
  </si>
  <si>
    <t>CHistoryCollection</t>
  </si>
  <si>
    <t>#include "..\..\Collections\HistoryCollection.mqh"</t>
  </si>
  <si>
    <t>#include &lt;Vendors\Anhnt\Library\2. DoEasy. Service functions Lib\Collections\HistoryCollection.mqh&gt;</t>
  </si>
  <si>
    <t>CIndicatorsCollection</t>
  </si>
  <si>
    <t>#include "..\..\Collections\IndicatorsCollection.mqh"</t>
  </si>
  <si>
    <t>#include &lt;Vendors\Anhnt\Library\2. DoEasy. Service functions Lib\Collections\IndicatorsCollection.mqh&gt;</t>
  </si>
  <si>
    <t>CArrayObj</t>
  </si>
  <si>
    <t>#include "..\..\Collections\ListObj.mqh"</t>
  </si>
  <si>
    <t>#include &lt;Vendors\Anhnt\Library\2. DoEasy. Service functions Lib\Collections\ListObj.mqh&gt;</t>
  </si>
  <si>
    <t>CMarketCollection</t>
  </si>
  <si>
    <t>#include "..\..\Collections\MarketCollection.mqh"</t>
  </si>
  <si>
    <t>#include &lt;Vendors\Anhnt\Library\2. DoEasy. Service functions Lib\Collections\MarketCollection.mqh&gt;</t>
  </si>
  <si>
    <t>CMQLSignalsCollection</t>
  </si>
  <si>
    <t>#include "..\..\Collections\MQLSignalsCollection.mqh"</t>
  </si>
  <si>
    <t>#include &lt;Vendors\Anhnt\Library\2. DoEasy. Service functions Lib\Collections\MQLSignalsCollection.mqh&gt;</t>
  </si>
  <si>
    <t>COrderControl</t>
  </si>
  <si>
    <t>#include "..\..\Collections\OrderControl.mqh"</t>
  </si>
  <si>
    <t>#include &lt;Vendors\Anhnt\Library\2. DoEasy. Service functions Lib\Collections\OrderControl.mqh&gt;</t>
  </si>
  <si>
    <t>CResObj</t>
  </si>
  <si>
    <t>#include "..\..\Collections\ResourceCollection.mqh"</t>
  </si>
  <si>
    <t>#include &lt;Vendors\Anhnt\Library\2. DoEasy. Service functions Lib\Collections\ResourceCollection.mqh&gt;</t>
  </si>
  <si>
    <t>CResourceCollection</t>
  </si>
  <si>
    <t>CSymbolsCollection</t>
  </si>
  <si>
    <t>#include "..\..\Collections\SymbolsCollection.mqh"</t>
  </si>
  <si>
    <t>#include &lt;Vendors\Anhnt\Library\2. DoEasy. Service functions Lib\Collections\SymbolsCollection.mqh&gt;</t>
  </si>
  <si>
    <t>CTickSeriesCollection</t>
  </si>
  <si>
    <t>#include "..\..\Collections\TickSeriesCollection.mqh"</t>
  </si>
  <si>
    <t>#include &lt;Vendors\Anhnt\Library\2. DoEasy. Service functions Lib\Collections\TickSeriesCollection.mqh&gt;</t>
  </si>
  <si>
    <t>CTimeSeriesCollection</t>
  </si>
  <si>
    <t>#include "..\..\Collections\TimeSeriesCollection.mqh"</t>
  </si>
  <si>
    <t>#include &lt;Vendors\Anhnt\Library\2. DoEasy. Service functions Lib\Collections\TimeSeriesCollection.mqh&gt;</t>
  </si>
  <si>
    <t>Objects</t>
  </si>
  <si>
    <t>CEventBaseObj</t>
  </si>
  <si>
    <t>#include "..\BaseObj.mqh"</t>
  </si>
  <si>
    <t>#include &lt;Vendors\Anhnt\Library\2. DoEasy. Service functions Lib\Objects\BaseObj.mqh&gt;</t>
  </si>
  <si>
    <t>CBaseEvent</t>
  </si>
  <si>
    <t>Objects\Accounts</t>
  </si>
  <si>
    <t>CAccount</t>
  </si>
  <si>
    <t>Objects\Book</t>
  </si>
  <si>
    <t>CMarketBookBuy</t>
  </si>
  <si>
    <t>CMarketBookOrd</t>
  </si>
  <si>
    <t>#include "..\Book\MarketBookBuy.mqh"</t>
  </si>
  <si>
    <t>#include &lt;Vendors\Anhnt\Library\2. DoEasy. Service functions Lib\Objects\Book\MarketBookBuy.mqh&gt;</t>
  </si>
  <si>
    <t>CMarketBookBuyMarket</t>
  </si>
  <si>
    <t>#include "..\Book\MarketBookBuyMarket.mqh"</t>
  </si>
  <si>
    <t>#include &lt;Vendors\Anhnt\Library\2. DoEasy. Service functions Lib\Objects\Book\MarketBookBuyMarket.mqh&gt;</t>
  </si>
  <si>
    <t>#include "..\Book\MarketBookOrd.mqh"</t>
  </si>
  <si>
    <t>#include &lt;Vendors\Anhnt\Library\2. DoEasy. Service functions Lib\Objects\Book\MarketBookOrd.mqh&gt;</t>
  </si>
  <si>
    <t>CMarketBookSell</t>
  </si>
  <si>
    <t>#include "..\Book\MarketBookSell.mqh"</t>
  </si>
  <si>
    <t>#include &lt;Vendors\Anhnt\Library\2. DoEasy. Service functions Lib\Objects\Book\MarketBookSell.mqh&gt;</t>
  </si>
  <si>
    <t>CMarketBookSellMarket</t>
  </si>
  <si>
    <t>#include "..\Book\MarketBookSellMarket.mqh"</t>
  </si>
  <si>
    <t>#include &lt;Vendors\Anhnt\Library\2. DoEasy. Service functions Lib\Objects\Book\MarketBookSellMarket.mqh&gt;</t>
  </si>
  <si>
    <t>CMBookSnapshot</t>
  </si>
  <si>
    <t>#include "..\Book\MarketBookSnapshot.mqh"</t>
  </si>
  <si>
    <t>#include &lt;Vendors\Anhnt\Library\2. DoEasy. Service functions Lib\Objects\Book\MarketBookSnapshot.mqh&gt;</t>
  </si>
  <si>
    <t>CMBookSeries</t>
  </si>
  <si>
    <t>#include "..\Book\MBookSeries.mqh"</t>
  </si>
  <si>
    <t>#include &lt;Vendors\Anhnt\Library\2. DoEasy. Service functions Lib\Objects\Book\MBookSeries.mqh&gt;</t>
  </si>
  <si>
    <t>Objects\Chart</t>
  </si>
  <si>
    <t>CChartObj</t>
  </si>
  <si>
    <t>#include "..\Chart\ChartObj.mqh"</t>
  </si>
  <si>
    <t>#include &lt;Vendors\Anhnt\Library\2. DoEasy. Service functions Lib\Objects\Chart\ChartObj.mqh&gt;</t>
  </si>
  <si>
    <t>CWndInd</t>
  </si>
  <si>
    <t>#include "..\Chart\ChartWnd.mqh"</t>
  </si>
  <si>
    <t>#include &lt;Vendors\Anhnt\Library\2. DoEasy. Service functions Lib\Objects\Chart\ChartWnd.mqh&gt;</t>
  </si>
  <si>
    <t>CChartWnd</t>
  </si>
  <si>
    <t>Objects\Events</t>
  </si>
  <si>
    <t>CEvent</t>
  </si>
  <si>
    <t>#include "..\Events\Event.mqh"</t>
  </si>
  <si>
    <t>#include &lt;Vendors\Anhnt\Library\2. DoEasy. Service functions Lib\Objects\Events\Event.mqh&gt;</t>
  </si>
  <si>
    <t>CEventBalanceOperation</t>
  </si>
  <si>
    <t>#include "..\Events\EventBalanceOperation.mqh"</t>
  </si>
  <si>
    <t>#include &lt;Vendors\Anhnt\Library\2. DoEasy. Service functions Lib\Objects\Events\EventBalanceOperation.mqh&gt;</t>
  </si>
  <si>
    <t>CEventModify</t>
  </si>
  <si>
    <t>#include "..\Events\EventModify.mqh"</t>
  </si>
  <si>
    <t>#include &lt;Vendors\Anhnt\Library\2. DoEasy. Service functions Lib\Objects\Events\EventModify.mqh&gt;</t>
  </si>
  <si>
    <t>CEventOrderPlased</t>
  </si>
  <si>
    <t>#include "..\Events\EventOrderPlaced.mqh"</t>
  </si>
  <si>
    <t>#include &lt;Vendors\Anhnt\Library\2. DoEasy. Service functions Lib\Objects\Events\EventOrderPlaced.mqh&gt;</t>
  </si>
  <si>
    <t>CEventOrderRemoved</t>
  </si>
  <si>
    <t>#include "..\Events\EventOrderRemoved.mqh"</t>
  </si>
  <si>
    <t>#include &lt;Vendors\Anhnt\Library\2. DoEasy. Service functions Lib\Objects\Events\EventOrderRemoved.mqh&gt;</t>
  </si>
  <si>
    <t>CEventPositionClose</t>
  </si>
  <si>
    <t>#include "..\Events\EventPositionClose.mqh"</t>
  </si>
  <si>
    <t>#include &lt;Vendors\Anhnt\Library\2. DoEasy. Service functions Lib\Objects\Events\EventPositionClose.mqh&gt;</t>
  </si>
  <si>
    <t>CEventPositionOpen</t>
  </si>
  <si>
    <t>#include "..\Events\EventPositionOpen.mqh"</t>
  </si>
  <si>
    <t>#include &lt;Vendors\Anhnt\Library\2. DoEasy. Service functions Lib\Objects\Events\EventPositionOpen.mqh&gt;</t>
  </si>
  <si>
    <t>Objects\Graph</t>
  </si>
  <si>
    <t>CForm</t>
  </si>
  <si>
    <t>CGCnvElement</t>
  </si>
  <si>
    <t>#include "..\Graph\Form.mqh"</t>
  </si>
  <si>
    <t>#include &lt;Vendors\Anhnt\Library\2. DoEasy. Service functions Lib\Objects\Graph\Form.mqh&gt;</t>
  </si>
  <si>
    <t>CGBaseEvent</t>
  </si>
  <si>
    <t>#include "..\Graph\GBaseObj.mqh"</t>
  </si>
  <si>
    <t>#include &lt;Vendors\Anhnt\Library\2. DoEasy. Service functions Lib\Objects\Graph\GBaseObj.mqh&gt;</t>
  </si>
  <si>
    <t>CGBaseObj</t>
  </si>
  <si>
    <t>CGCnvBitmap</t>
  </si>
  <si>
    <t>#include "..\Graph\GCnvBitmap.mqh"</t>
  </si>
  <si>
    <t>#include &lt;Vendors\Anhnt\Library\2. DoEasy. Service functions Lib\Objects\Graph\GCnvBitmap.mqh&gt;</t>
  </si>
  <si>
    <t>#include "..\Graph\GCnvElement.mqh"</t>
  </si>
  <si>
    <t>#include &lt;Vendors\Anhnt\Library\2. DoEasy. Service functions Lib\Objects\Graph\GCnvElement.mqh&gt;</t>
  </si>
  <si>
    <t>CGraphElmControl</t>
  </si>
  <si>
    <t>#include "..\Graph\GraphElmControl.mqh"</t>
  </si>
  <si>
    <t>#include &lt;Vendors\Anhnt\Library\2. DoEasy. Service functions Lib\Objects\Graph\GraphElmControl.mqh&gt;</t>
  </si>
  <si>
    <t>CShadowObj</t>
  </si>
  <si>
    <t>#include "..\Graph\ShadowObj.mqh"</t>
  </si>
  <si>
    <t>#include &lt;Vendors\Anhnt\Library\2. DoEasy. Service functions Lib\Objects\Graph\ShadowObj.mqh&gt;</t>
  </si>
  <si>
    <t>Objects\Graph\Animations</t>
  </si>
  <si>
    <t>CAnimations</t>
  </si>
  <si>
    <t>#include "..\Graph\Animations\Animations.mqh"</t>
  </si>
  <si>
    <t>#include &lt;Vendors\Anhnt\Library\2. DoEasy. Service functions Lib\Objects\Graph\Animations\Animations.mqh&gt;</t>
  </si>
  <si>
    <t>CPixelCopier</t>
  </si>
  <si>
    <t>#include "..\Graph\Animations\Frame.mqh"</t>
  </si>
  <si>
    <t>#include &lt;Vendors\Anhnt\Library\2. DoEasy. Service functions Lib\Objects\Graph\Animations\Frame.mqh&gt;</t>
  </si>
  <si>
    <t>CFrame</t>
  </si>
  <si>
    <t>CFrameGeometry</t>
  </si>
  <si>
    <t>#include "..\Graph\Animations\FrameGeometry.mqh"</t>
  </si>
  <si>
    <t>#include &lt;Vendors\Anhnt\Library\2. DoEasy. Service functions Lib\Objects\Graph\Animations\FrameGeometry.mqh&gt;</t>
  </si>
  <si>
    <t>CFrameQuad</t>
  </si>
  <si>
    <t>#include "..\Graph\Animations\FrameQuad.mqh"</t>
  </si>
  <si>
    <t>#include &lt;Vendors\Anhnt\Library\2. DoEasy. Service functions Lib\Objects\Graph\Animations\FrameQuad.mqh&gt;</t>
  </si>
  <si>
    <t>CFrameText</t>
  </si>
  <si>
    <t>#include "..\Graph\Animations\FrameText.mqh"</t>
  </si>
  <si>
    <t>#include &lt;Vendors\Anhnt\Library\2. DoEasy. Service functions Lib\Objects\Graph\Animations\FrameText.mqh&gt;</t>
  </si>
  <si>
    <t>Objects\Graph\Extend</t>
  </si>
  <si>
    <t>CFormControl</t>
  </si>
  <si>
    <t>#include "..\Graph\Extend\CGStdGraphObjExtToolkit.mqh"</t>
  </si>
  <si>
    <t>#include &lt;Vendors\Anhnt\Library\2. DoEasy. Service functions Lib\Objects\Graph\Extend\CGStdGraphObjExtToolkit.mqh&gt;</t>
  </si>
  <si>
    <t>CGStdGraphObjExtToolkit</t>
  </si>
  <si>
    <t>Objects\Graph\Extended</t>
  </si>
  <si>
    <t>CGStdArrowBuyObj</t>
  </si>
  <si>
    <t>CGStdGraphObj</t>
  </si>
  <si>
    <t>#include "..\Graph\Extended\GStdArrowBuyObjExt.mqh"</t>
  </si>
  <si>
    <t>#include &lt;Vendors\Anhnt\Library\2. DoEasy. Service functions Lib\Objects\Graph\Extended\GStdArrowBuyObjExt.mqh&gt;</t>
  </si>
  <si>
    <t>CGStdArrowCheckObj</t>
  </si>
  <si>
    <t>#include "..\Graph\Extended\GStdArrowCheckObjExt.mqh"</t>
  </si>
  <si>
    <t>#include &lt;Vendors\Anhnt\Library\2. DoEasy. Service functions Lib\Objects\Graph\Extended\GStdArrowCheckObjExt.mqh&gt;</t>
  </si>
  <si>
    <t>CGStdArrowDownObj</t>
  </si>
  <si>
    <t>#include "..\Graph\Extended\GStdArrowDownObjExt.mqh"</t>
  </si>
  <si>
    <t>#include &lt;Vendors\Anhnt\Library\2. DoEasy. Service functions Lib\Objects\Graph\Extended\GStdArrowDownObjExt.mqh&gt;</t>
  </si>
  <si>
    <t>CGStdArrowedLineObj</t>
  </si>
  <si>
    <t>#include "..\Graph\Extended\GStdArrowedLineObjExt.mqh"</t>
  </si>
  <si>
    <t>#include &lt;Vendors\Anhnt\Library\2. DoEasy. Service functions Lib\Objects\Graph\Extended\GStdArrowedLineObjExt.mqh&gt;</t>
  </si>
  <si>
    <t>CGStdArrowLeftPriceObj</t>
  </si>
  <si>
    <t>#include "..\Graph\Extended\GStdArrowLeftPriceObjExt.mqh"</t>
  </si>
  <si>
    <t>#include &lt;Vendors\Anhnt\Library\2. DoEasy. Service functions Lib\Objects\Graph\Extended\GStdArrowLeftPriceObjExt.mqh&gt;</t>
  </si>
  <si>
    <t>CGStdArrowObj</t>
  </si>
  <si>
    <t>#include "..\Graph\Extended\GStdArrowObjExt.mqh"</t>
  </si>
  <si>
    <t>#include &lt;Vendors\Anhnt\Library\2. DoEasy. Service functions Lib\Objects\Graph\Extended\GStdArrowObjExt.mqh&gt;</t>
  </si>
  <si>
    <t>CGStdArrowRightPriceObj</t>
  </si>
  <si>
    <t>#include "..\Graph\Extended\GStdArrowRightPriceObjExt.mqh"</t>
  </si>
  <si>
    <t>#include &lt;Vendors\Anhnt\Library\2. DoEasy. Service functions Lib\Objects\Graph\Extended\GStdArrowRightPriceObjExt.mqh&gt;</t>
  </si>
  <si>
    <t>CGStdArrowSellObj</t>
  </si>
  <si>
    <t>#include "..\Graph\Extended\GStdArrowSellObjExt.mqh"</t>
  </si>
  <si>
    <t>#include &lt;Vendors\Anhnt\Library\2. DoEasy. Service functions Lib\Objects\Graph\Extended\GStdArrowSellObjExt.mqh&gt;</t>
  </si>
  <si>
    <t>CGStdArrowStopObj</t>
  </si>
  <si>
    <t>#include "..\Graph\Extended\GStdArrowStopObjExt.mqh"</t>
  </si>
  <si>
    <t>#include &lt;Vendors\Anhnt\Library\2. DoEasy. Service functions Lib\Objects\Graph\Extended\GStdArrowStopObjExt.mqh&gt;</t>
  </si>
  <si>
    <t>CGStdArrowThumbDownObj</t>
  </si>
  <si>
    <t>#include "..\Graph\Extended\GStdArrowThumbDownObjExt.mqh"</t>
  </si>
  <si>
    <t>#include &lt;Vendors\Anhnt\Library\2. DoEasy. Service functions Lib\Objects\Graph\Extended\GStdArrowThumbDownObjExt.mqh&gt;</t>
  </si>
  <si>
    <t>CGStdArrowThumbUpObj</t>
  </si>
  <si>
    <t>#include "..\Graph\Extended\GStdArrowThumbUpObjExt.mqh"</t>
  </si>
  <si>
    <t>#include &lt;Vendors\Anhnt\Library\2. DoEasy. Service functions Lib\Objects\Graph\Extended\GStdArrowThumbUpObjExt.mqh&gt;</t>
  </si>
  <si>
    <t>CGStdArrowUpObj</t>
  </si>
  <si>
    <t>#include "..\Graph\Extended\GStdArrowUpObjExt.mqh"</t>
  </si>
  <si>
    <t>#include &lt;Vendors\Anhnt\Library\2. DoEasy. Service functions Lib\Objects\Graph\Extended\GStdArrowUpObjExt.mqh&gt;</t>
  </si>
  <si>
    <t>CGStdBitmapLabelObj</t>
  </si>
  <si>
    <t>#include "..\Graph\Extended\GStdBitmapLabelObjExt.mqh"</t>
  </si>
  <si>
    <t>#include &lt;Vendors\Anhnt\Library\2. DoEasy. Service functions Lib\Objects\Graph\Extended\GStdBitmapLabelObjExt.mqh&gt;</t>
  </si>
  <si>
    <t>CGStdBitmapObj</t>
  </si>
  <si>
    <t>#include "..\Graph\Extended\GStdBitmapObjExt.mqh"</t>
  </si>
  <si>
    <t>#include &lt;Vendors\Anhnt\Library\2. DoEasy. Service functions Lib\Objects\Graph\Extended\GStdBitmapObjExt.mqh&gt;</t>
  </si>
  <si>
    <t>CGStdButtonObj</t>
  </si>
  <si>
    <t>#include "..\Graph\Extended\GStdButtonObjExt.mqh"</t>
  </si>
  <si>
    <t>#include &lt;Vendors\Anhnt\Library\2. DoEasy. Service functions Lib\Objects\Graph\Extended\GStdButtonObjExt.mqh&gt;</t>
  </si>
  <si>
    <t>CGStdChannelObj</t>
  </si>
  <si>
    <t>#include "..\Graph\Extended\GStdChannelObjExt.mqh"</t>
  </si>
  <si>
    <t>#include &lt;Vendors\Anhnt\Library\2. DoEasy. Service functions Lib\Objects\Graph\Extended\GStdChannelObjExt.mqh&gt;</t>
  </si>
  <si>
    <t>CGStdChartObj</t>
  </si>
  <si>
    <t>#include "..\Graph\Extended\GStdChartObjExt.mqh"</t>
  </si>
  <si>
    <t>#include &lt;Vendors\Anhnt\Library\2. DoEasy. Service functions Lib\Objects\Graph\Extended\GStdChartObjExt.mqh&gt;</t>
  </si>
  <si>
    <t>CGStdCyclesObj</t>
  </si>
  <si>
    <t>#include "..\Graph\Extended\GStdCiclesObjExt.mqh"</t>
  </si>
  <si>
    <t>#include &lt;Vendors\Anhnt\Library\2. DoEasy. Service functions Lib\Objects\Graph\Extended\GStdCiclesObjExt.mqh&gt;</t>
  </si>
  <si>
    <t>CGStdEditObj</t>
  </si>
  <si>
    <t>#include "..\Graph\Extended\GStdEditObjExt.mqh"</t>
  </si>
  <si>
    <t>#include &lt;Vendors\Anhnt\Library\2. DoEasy. Service functions Lib\Objects\Graph\Extended\GStdEditObjExt.mqh&gt;</t>
  </si>
  <si>
    <t>CGStdElliotWave3Obj</t>
  </si>
  <si>
    <t>#include "..\Graph\Extended\GStdElliotWave3ObjExt.mqh"</t>
  </si>
  <si>
    <t>#include &lt;Vendors\Anhnt\Library\2. DoEasy. Service functions Lib\Objects\Graph\Extended\GStdElliotWave3ObjExt.mqh&gt;</t>
  </si>
  <si>
    <t>CGStdElliotWave5Obj</t>
  </si>
  <si>
    <t>#include "..\Graph\Extended\GStdElliotWave5ObjExt.mqh"</t>
  </si>
  <si>
    <t>#include &lt;Vendors\Anhnt\Library\2. DoEasy. Service functions Lib\Objects\Graph\Extended\GStdElliotWave5ObjExt.mqh&gt;</t>
  </si>
  <si>
    <t>CGStdEllipseObj</t>
  </si>
  <si>
    <t>#include "..\Graph\Extended\GStdEllipseObjExt.mqh"</t>
  </si>
  <si>
    <t>#include &lt;Vendors\Anhnt\Library\2. DoEasy. Service functions Lib\Objects\Graph\Extended\GStdEllipseObjExt.mqh&gt;</t>
  </si>
  <si>
    <t>CGStdEventObj</t>
  </si>
  <si>
    <t>#include "..\Graph\Extended\GStdEventObjExt.mqh"</t>
  </si>
  <si>
    <t>#include &lt;Vendors\Anhnt\Library\2. DoEasy. Service functions Lib\Objects\Graph\Extended\GStdEventObjExt.mqh&gt;</t>
  </si>
  <si>
    <t>CGStdExpansionObj</t>
  </si>
  <si>
    <t>#include "..\Graph\Extended\GStdExpansionObjExt.mqh"</t>
  </si>
  <si>
    <t>#include &lt;Vendors\Anhnt\Library\2. DoEasy. Service functions Lib\Objects\Graph\Extended\GStdExpansionObjExt.mqh&gt;</t>
  </si>
  <si>
    <t>CGStdFiboArcObj</t>
  </si>
  <si>
    <t>#include "..\Graph\Extended\GStdFiboArcObjExt.mqh"</t>
  </si>
  <si>
    <t>#include &lt;Vendors\Anhnt\Library\2. DoEasy. Service functions Lib\Objects\Graph\Extended\GStdFiboArcObjExt.mqh&gt;</t>
  </si>
  <si>
    <t>CGStdFiboChannelObj</t>
  </si>
  <si>
    <t>#include "..\Graph\Extended\GStdFiboChannelObjExt.mqh"</t>
  </si>
  <si>
    <t>#include &lt;Vendors\Anhnt\Library\2. DoEasy. Service functions Lib\Objects\Graph\Extended\GStdFiboChannelObjExt.mqh&gt;</t>
  </si>
  <si>
    <t>CGStdFiboFanObj</t>
  </si>
  <si>
    <t>#include "..\Graph\Extended\GStdFiboFanObjExt.mqh"</t>
  </si>
  <si>
    <t>#include &lt;Vendors\Anhnt\Library\2. DoEasy. Service functions Lib\Objects\Graph\Extended\GStdFiboFanObjExt.mqh&gt;</t>
  </si>
  <si>
    <t>CGStdFiboObj</t>
  </si>
  <si>
    <t>#include "..\Graph\Extended\GStdFiboObjExt.mqh"</t>
  </si>
  <si>
    <t>#include &lt;Vendors\Anhnt\Library\2. DoEasy. Service functions Lib\Objects\Graph\Extended\GStdFiboObjExt.mqh&gt;</t>
  </si>
  <si>
    <t>CGStdFiboTimesObj</t>
  </si>
  <si>
    <t>#include "..\Graph\Extended\GStdFiboTimesObjExt.mqh"</t>
  </si>
  <si>
    <t>#include &lt;Vendors\Anhnt\Library\2. DoEasy. Service functions Lib\Objects\Graph\Extended\GStdFiboTimesObjExt.mqh&gt;</t>
  </si>
  <si>
    <t>CGStdGannFanObj</t>
  </si>
  <si>
    <t>#include "..\Graph\Extended\GStdGannFanObjExt.mqh"</t>
  </si>
  <si>
    <t>#include &lt;Vendors\Anhnt\Library\2. DoEasy. Service functions Lib\Objects\Graph\Extended\GStdGannFanObjExt.mqh&gt;</t>
  </si>
  <si>
    <t>CGStdGannGridObj</t>
  </si>
  <si>
    <t>#include "..\Graph\Extended\GStdGannGridObjExt.mqh"</t>
  </si>
  <si>
    <t>#include &lt;Vendors\Anhnt\Library\2. DoEasy. Service functions Lib\Objects\Graph\Extended\GStdGannGridObjExt.mqh&gt;</t>
  </si>
  <si>
    <t>CGStdGannLineObj</t>
  </si>
  <si>
    <t>#include "..\Graph\Extended\GStdGannLineObjExt.mqh"</t>
  </si>
  <si>
    <t>#include &lt;Vendors\Anhnt\Library\2. DoEasy. Service functions Lib\Objects\Graph\Extended\GStdGannLineObjExt.mqh&gt;</t>
  </si>
  <si>
    <t>CLinkedPivotPoint</t>
  </si>
  <si>
    <t>#include "..\Graph\Extended\GStdGraphObjExt.mqh"</t>
  </si>
  <si>
    <t>#include &lt;Vendors\Anhnt\Library\2. DoEasy. Service functions Lib\Objects\Graph\Extended\GStdGraphObjExt.mqh&gt;</t>
  </si>
  <si>
    <t>CCompObjData</t>
  </si>
  <si>
    <t>CGStdGraphObjExt</t>
  </si>
  <si>
    <t>CGStdHLineObj</t>
  </si>
  <si>
    <t>#include "..\Graph\Extended\GStdHLineObjExt.mqh"</t>
  </si>
  <si>
    <t>#include &lt;Vendors\Anhnt\Library\2. DoEasy. Service functions Lib\Objects\Graph\Extended\GStdHLineObjExt.mqh&gt;</t>
  </si>
  <si>
    <t>CGStdLabelObj</t>
  </si>
  <si>
    <t>#include "..\Graph\Extended\GStdLabelObjExt.mqh"</t>
  </si>
  <si>
    <t>#include &lt;Vendors\Anhnt\Library\2. DoEasy. Service functions Lib\Objects\Graph\Extended\GStdLabelObjExt.mqh&gt;</t>
  </si>
  <si>
    <t>CGStdPitchforkObj</t>
  </si>
  <si>
    <t>#include "..\Graph\Extended\GStdPitchforkObjExt.mqh"</t>
  </si>
  <si>
    <t>#include &lt;Vendors\Anhnt\Library\2. DoEasy. Service functions Lib\Objects\Graph\Extended\GStdPitchforkObjExt.mqh&gt;</t>
  </si>
  <si>
    <t>CGStdRectangleLabelObj</t>
  </si>
  <si>
    <t>#include "..\Graph\Extended\GStdRectangleLabelObjExt.mqh"</t>
  </si>
  <si>
    <t>#include &lt;Vendors\Anhnt\Library\2. DoEasy. Service functions Lib\Objects\Graph\Extended\GStdRectangleLabelObjExt.mqh&gt;</t>
  </si>
  <si>
    <t>CGStdRectangleObj</t>
  </si>
  <si>
    <t>#include "..\Graph\Extended\GStdRectangleObjExt.mqh"</t>
  </si>
  <si>
    <t>#include &lt;Vendors\Anhnt\Library\2. DoEasy. Service functions Lib\Objects\Graph\Extended\GStdRectangleObjExt.mqh&gt;</t>
  </si>
  <si>
    <t>CGStdRegressionObj</t>
  </si>
  <si>
    <t>#include "..\Graph\Extended\GStdRegressionObjExt.mqh"</t>
  </si>
  <si>
    <t>#include &lt;Vendors\Anhnt\Library\2. DoEasy. Service functions Lib\Objects\Graph\Extended\GStdRegressionObjExt.mqh&gt;</t>
  </si>
  <si>
    <t>CGStdStdDevChannelObj</t>
  </si>
  <si>
    <t>#include "..\Graph\Extended\GStdStdDevChannelObjExt.mqh"</t>
  </si>
  <si>
    <t>#include &lt;Vendors\Anhnt\Library\2. DoEasy. Service functions Lib\Objects\Graph\Extended\GStdStdDevChannelObjExt.mqh&gt;</t>
  </si>
  <si>
    <t>CGStdTextObj</t>
  </si>
  <si>
    <t>#include "..\Graph\Extended\GStdTextObjExt.mqh"</t>
  </si>
  <si>
    <t>#include &lt;Vendors\Anhnt\Library\2. DoEasy. Service functions Lib\Objects\Graph\Extended\GStdTextObjExt.mqh&gt;</t>
  </si>
  <si>
    <t>CGStdTrendByAngleObj</t>
  </si>
  <si>
    <t>#include "..\Graph\Extended\GStdTrendByAngleObjExt.mqh"</t>
  </si>
  <si>
    <t>#include &lt;Vendors\Anhnt\Library\2. DoEasy. Service functions Lib\Objects\Graph\Extended\GStdTrendByAngleObjExt.mqh&gt;</t>
  </si>
  <si>
    <t>CGStdTrendObj</t>
  </si>
  <si>
    <t>#include "..\Graph\Extended\GStdTrendObjExt.mqh"</t>
  </si>
  <si>
    <t>#include &lt;Vendors\Anhnt\Library\2. DoEasy. Service functions Lib\Objects\Graph\Extended\GStdTrendObjExt.mqh&gt;</t>
  </si>
  <si>
    <t>CGStdTrendObjExt</t>
  </si>
  <si>
    <t>#include "..\Graph\Extended\GStdTrendObjExtExt.mqh"</t>
  </si>
  <si>
    <t>#include &lt;Vendors\Anhnt\Library\2. DoEasy. Service functions Lib\Objects\Graph\Extended\GStdTrendObjExtExt.mqh&gt;</t>
  </si>
  <si>
    <t>CGStdTriangleObj</t>
  </si>
  <si>
    <t>#include "..\Graph\Extended\GStdTriangleObjExt.mqh"</t>
  </si>
  <si>
    <t>#include &lt;Vendors\Anhnt\Library\2. DoEasy. Service functions Lib\Objects\Graph\Extended\GStdTriangleObjExt.mqh&gt;</t>
  </si>
  <si>
    <t>CGStdVLineObjExt</t>
  </si>
  <si>
    <t>#include "..\Graph\Extended\GStdVLineObjExt.mqh"</t>
  </si>
  <si>
    <t>#include &lt;Vendors\Anhnt\Library\2. DoEasy. Service functions Lib\Objects\Graph\Extended\GStdVLineObjExt.mqh&gt;</t>
  </si>
  <si>
    <t>Objects\Graph\Standard</t>
  </si>
  <si>
    <t>#include "..\Graph\Standard\GStdArrowBuyObj.mqh"</t>
  </si>
  <si>
    <t>#include &lt;Vendors\Anhnt\Library\2. DoEasy. Service functions Lib\Objects\Graph\Standard\GStdArrowBuyObj.mqh&gt;</t>
  </si>
  <si>
    <t>#include "..\Graph\Standard\GStdArrowCheckObj.mqh"</t>
  </si>
  <si>
    <t>#include &lt;Vendors\Anhnt\Library\2. DoEasy. Service functions Lib\Objects\Graph\Standard\GStdArrowCheckObj.mqh&gt;</t>
  </si>
  <si>
    <t>#include "..\Graph\Standard\GStdArrowDownObj.mqh"</t>
  </si>
  <si>
    <t>#include &lt;Vendors\Anhnt\Library\2. DoEasy. Service functions Lib\Objects\Graph\Standard\GStdArrowDownObj.mqh&gt;</t>
  </si>
  <si>
    <t>#include "..\Graph\Standard\GStdArrowedLineObj.mqh"</t>
  </si>
  <si>
    <t>#include &lt;Vendors\Anhnt\Library\2. DoEasy. Service functions Lib\Objects\Graph\Standard\GStdArrowedLineObj.mqh&gt;</t>
  </si>
  <si>
    <t>#include "..\Graph\Standard\GStdArrowLeftPriceObj.mqh"</t>
  </si>
  <si>
    <t>#include &lt;Vendors\Anhnt\Library\2. DoEasy. Service functions Lib\Objects\Graph\Standard\GStdArrowLeftPriceObj.mqh&gt;</t>
  </si>
  <si>
    <t>#include "..\Graph\Standard\GStdArrowObj.mqh"</t>
  </si>
  <si>
    <t>#include &lt;Vendors\Anhnt\Library\2. DoEasy. Service functions Lib\Objects\Graph\Standard\GStdArrowObj.mqh&gt;</t>
  </si>
  <si>
    <t>#include "..\Graph\Standard\GStdArrowRightPriceObj.mqh"</t>
  </si>
  <si>
    <t>#include &lt;Vendors\Anhnt\Library\2. DoEasy. Service functions Lib\Objects\Graph\Standard\GStdArrowRightPriceObj.mqh&gt;</t>
  </si>
  <si>
    <t>#include "..\Graph\Standard\GStdArrowSellObj.mqh"</t>
  </si>
  <si>
    <t>#include &lt;Vendors\Anhnt\Library\2. DoEasy. Service functions Lib\Objects\Graph\Standard\GStdArrowSellObj.mqh&gt;</t>
  </si>
  <si>
    <t>#include "..\Graph\Standard\GStdArrowStopObj.mqh"</t>
  </si>
  <si>
    <t>#include &lt;Vendors\Anhnt\Library\2. DoEasy. Service functions Lib\Objects\Graph\Standard\GStdArrowStopObj.mqh&gt;</t>
  </si>
  <si>
    <t>#include "..\Graph\Standard\GStdArrowThumbDownObj.mqh"</t>
  </si>
  <si>
    <t>#include &lt;Vendors\Anhnt\Library\2. DoEasy. Service functions Lib\Objects\Graph\Standard\GStdArrowThumbDownObj.mqh&gt;</t>
  </si>
  <si>
    <t>#include "..\Graph\Standard\GStdArrowThumbUpObj.mqh"</t>
  </si>
  <si>
    <t>#include &lt;Vendors\Anhnt\Library\2. DoEasy. Service functions Lib\Objects\Graph\Standard\GStdArrowThumbUpObj.mqh&gt;</t>
  </si>
  <si>
    <t>#include "..\Graph\Standard\GStdArrowUpObj.mqh"</t>
  </si>
  <si>
    <t>#include &lt;Vendors\Anhnt\Library\2. DoEasy. Service functions Lib\Objects\Graph\Standard\GStdArrowUpObj.mqh&gt;</t>
  </si>
  <si>
    <t>#include "..\Graph\Standard\GStdBitmapLabelObj.mqh"</t>
  </si>
  <si>
    <t>#include &lt;Vendors\Anhnt\Library\2. DoEasy. Service functions Lib\Objects\Graph\Standard\GStdBitmapLabelObj.mqh&gt;</t>
  </si>
  <si>
    <t>#include "..\Graph\Standard\GStdBitmapObj.mqh"</t>
  </si>
  <si>
    <t>#include &lt;Vendors\Anhnt\Library\2. DoEasy. Service functions Lib\Objects\Graph\Standard\GStdBitmapObj.mqh&gt;</t>
  </si>
  <si>
    <t>#include "..\Graph\Standard\GStdButtonObj.mqh"</t>
  </si>
  <si>
    <t>#include &lt;Vendors\Anhnt\Library\2. DoEasy. Service functions Lib\Objects\Graph\Standard\GStdButtonObj.mqh&gt;</t>
  </si>
  <si>
    <t>#include "..\Graph\Standard\GStdChannelObj.mqh"</t>
  </si>
  <si>
    <t>#include &lt;Vendors\Anhnt\Library\2. DoEasy. Service functions Lib\Objects\Graph\Standard\GStdChannelObj.mqh&gt;</t>
  </si>
  <si>
    <t>#include "..\Graph\Standard\GStdChartObj.mqh"</t>
  </si>
  <si>
    <t>#include &lt;Vendors\Anhnt\Library\2. DoEasy. Service functions Lib\Objects\Graph\Standard\GStdChartObj.mqh&gt;</t>
  </si>
  <si>
    <t>#include "..\Graph\Standard\GStdCiclesObj.mqh"</t>
  </si>
  <si>
    <t>#include &lt;Vendors\Anhnt\Library\2. DoEasy. Service functions Lib\Objects\Graph\Standard\GStdCiclesObj.mqh&gt;</t>
  </si>
  <si>
    <t>#include "..\Graph\Standard\GStdEditObj.mqh"</t>
  </si>
  <si>
    <t>#include &lt;Vendors\Anhnt\Library\2. DoEasy. Service functions Lib\Objects\Graph\Standard\GStdEditObj.mqh&gt;</t>
  </si>
  <si>
    <t>#include "..\Graph\Standard\GStdElliotWave3Obj.mqh"</t>
  </si>
  <si>
    <t>#include &lt;Vendors\Anhnt\Library\2. DoEasy. Service functions Lib\Objects\Graph\Standard\GStdElliotWave3Obj.mqh&gt;</t>
  </si>
  <si>
    <t>#include "..\Graph\Standard\GStdElliotWave5Obj.mqh"</t>
  </si>
  <si>
    <t>#include &lt;Vendors\Anhnt\Library\2. DoEasy. Service functions Lib\Objects\Graph\Standard\GStdElliotWave5Obj.mqh&gt;</t>
  </si>
  <si>
    <t>#include "..\Graph\Standard\GStdEllipseObj.mqh"</t>
  </si>
  <si>
    <t>#include &lt;Vendors\Anhnt\Library\2. DoEasy. Service functions Lib\Objects\Graph\Standard\GStdEllipseObj.mqh&gt;</t>
  </si>
  <si>
    <t>#include "..\Graph\Standard\GStdEventObj.mqh"</t>
  </si>
  <si>
    <t>#include &lt;Vendors\Anhnt\Library\2. DoEasy. Service functions Lib\Objects\Graph\Standard\GStdEventObj.mqh&gt;</t>
  </si>
  <si>
    <t>#include "..\Graph\Standard\GStdExpansionObj.mqh"</t>
  </si>
  <si>
    <t>#include &lt;Vendors\Anhnt\Library\2. DoEasy. Service functions Lib\Objects\Graph\Standard\GStdExpansionObj.mqh&gt;</t>
  </si>
  <si>
    <t>#include "..\Graph\Standard\GStdFiboArcObj.mqh"</t>
  </si>
  <si>
    <t>#include &lt;Vendors\Anhnt\Library\2. DoEasy. Service functions Lib\Objects\Graph\Standard\GStdFiboArcObj.mqh&gt;</t>
  </si>
  <si>
    <t>#include "..\Graph\Standard\GStdFiboChannelObj.mqh"</t>
  </si>
  <si>
    <t>#include &lt;Vendors\Anhnt\Library\2. DoEasy. Service functions Lib\Objects\Graph\Standard\GStdFiboChannelObj.mqh&gt;</t>
  </si>
  <si>
    <t>#include "..\Graph\Standard\GStdFiboFanObj.mqh"</t>
  </si>
  <si>
    <t>#include &lt;Vendors\Anhnt\Library\2. DoEasy. Service functions Lib\Objects\Graph\Standard\GStdFiboFanObj.mqh&gt;</t>
  </si>
  <si>
    <t>#include "..\Graph\Standard\GStdFiboObj.mqh"</t>
  </si>
  <si>
    <t>#include &lt;Vendors\Anhnt\Library\2. DoEasy. Service functions Lib\Objects\Graph\Standard\GStdFiboObj.mqh&gt;</t>
  </si>
  <si>
    <t>#include "..\Graph\Standard\GStdFiboTimesObj.mqh"</t>
  </si>
  <si>
    <t>#include &lt;Vendors\Anhnt\Library\2. DoEasy. Service functions Lib\Objects\Graph\Standard\GStdFiboTimesObj.mqh&gt;</t>
  </si>
  <si>
    <t>#include "..\Graph\Standard\GStdGannFanObj.mqh"</t>
  </si>
  <si>
    <t>#include &lt;Vendors\Anhnt\Library\2. DoEasy. Service functions Lib\Objects\Graph\Standard\GStdGannFanObj.mqh&gt;</t>
  </si>
  <si>
    <t>#include "..\Graph\Standard\GStdGannGridObj.mqh"</t>
  </si>
  <si>
    <t>#include &lt;Vendors\Anhnt\Library\2. DoEasy. Service functions Lib\Objects\Graph\Standard\GStdGannGridObj.mqh&gt;</t>
  </si>
  <si>
    <t>#include "..\Graph\Standard\GStdGannLineObj.mqh"</t>
  </si>
  <si>
    <t>#include &lt;Vendors\Anhnt\Library\2. DoEasy. Service functions Lib\Objects\Graph\Standard\GStdGannLineObj.mqh&gt;</t>
  </si>
  <si>
    <t>CPivotPointData</t>
  </si>
  <si>
    <t>#include "..\Graph\Standard\GStdGraphObj.mqh"</t>
  </si>
  <si>
    <t>#include &lt;Vendors\Anhnt\Library\2. DoEasy. Service functions Lib\Objects\Graph\Standard\GStdGraphObj.mqh&gt;</t>
  </si>
  <si>
    <t>CPivotPointXY</t>
  </si>
  <si>
    <t>#include "..\Graph\Standard\GStdHLineObj.mqh"</t>
  </si>
  <si>
    <t>#include &lt;Vendors\Anhnt\Library\2. DoEasy. Service functions Lib\Objects\Graph\Standard\GStdHLineObj.mqh&gt;</t>
  </si>
  <si>
    <t>#include "..\Graph\Standard\GStdLabelObj.mqh"</t>
  </si>
  <si>
    <t>#include &lt;Vendors\Anhnt\Library\2. DoEasy. Service functions Lib\Objects\Graph\Standard\GStdLabelObj.mqh&gt;</t>
  </si>
  <si>
    <t>#include "..\Graph\Standard\GStdPitchforkObj.mqh"</t>
  </si>
  <si>
    <t>#include &lt;Vendors\Anhnt\Library\2. DoEasy. Service functions Lib\Objects\Graph\Standard\GStdPitchforkObj.mqh&gt;</t>
  </si>
  <si>
    <t>#include "..\Graph\Standard\GStdRectangleLabelObj.mqh"</t>
  </si>
  <si>
    <t>#include &lt;Vendors\Anhnt\Library\2. DoEasy. Service functions Lib\Objects\Graph\Standard\GStdRectangleLabelObj.mqh&gt;</t>
  </si>
  <si>
    <t>#include "..\Graph\Standard\GStdRectangleObj.mqh"</t>
  </si>
  <si>
    <t>#include &lt;Vendors\Anhnt\Library\2. DoEasy. Service functions Lib\Objects\Graph\Standard\GStdRectangleObj.mqh&gt;</t>
  </si>
  <si>
    <t>#include "..\Graph\Standard\GStdRegressionObj.mqh"</t>
  </si>
  <si>
    <t>#include &lt;Vendors\Anhnt\Library\2. DoEasy. Service functions Lib\Objects\Graph\Standard\GStdRegressionObj.mqh&gt;</t>
  </si>
  <si>
    <t>#include "..\Graph\Standard\GStdStdDevChannelObj.mqh"</t>
  </si>
  <si>
    <t>#include &lt;Vendors\Anhnt\Library\2. DoEasy. Service functions Lib\Objects\Graph\Standard\GStdStdDevChannelObj.mqh&gt;</t>
  </si>
  <si>
    <t>#include "..\Graph\Standard\GStdTextObj.mqh"</t>
  </si>
  <si>
    <t>#include &lt;Vendors\Anhnt\Library\2. DoEasy. Service functions Lib\Objects\Graph\Standard\GStdTextObj.mqh&gt;</t>
  </si>
  <si>
    <t>#include "..\Graph\Standard\GStdTrendByAngleObj.mqh"</t>
  </si>
  <si>
    <t>#include &lt;Vendors\Anhnt\Library\2. DoEasy. Service functions Lib\Objects\Graph\Standard\GStdTrendByAngleObj.mqh&gt;</t>
  </si>
  <si>
    <t>#include "..\Graph\Standard\GStdTrendObj.mqh"</t>
  </si>
  <si>
    <t>#include &lt;Vendors\Anhnt\Library\2. DoEasy. Service functions Lib\Objects\Graph\Standard\GStdTrendObj.mqh&gt;</t>
  </si>
  <si>
    <t>#include "..\Graph\Standard\GStdTriangleObj.mqh"</t>
  </si>
  <si>
    <t>#include &lt;Vendors\Anhnt\Library\2. DoEasy. Service functions Lib\Objects\Graph\Standard\GStdTriangleObj.mqh&gt;</t>
  </si>
  <si>
    <t>CGStdVLineObj</t>
  </si>
  <si>
    <t>#include "..\Graph\Standard\GStdVLineObj.mqh"</t>
  </si>
  <si>
    <t>#include &lt;Vendors\Anhnt\Library\2. DoEasy. Service functions Lib\Objects\Graph\Standard\GStdVLineObj.mqh&gt;</t>
  </si>
  <si>
    <t>Objects\Graph\WForms</t>
  </si>
  <si>
    <t>CGlareObj</t>
  </si>
  <si>
    <t>CWinFormBase</t>
  </si>
  <si>
    <t>#include "..\Graph\WForms\GlareObj.mqh"</t>
  </si>
  <si>
    <t>#include &lt;Vendors\Anhnt\Library\2. DoEasy. Service functions Lib\Objects\Graph\WForms\GlareObj.mqh&gt;</t>
  </si>
  <si>
    <t>#include "..\Graph\WForms\WinFormBase.mqh"</t>
  </si>
  <si>
    <t>#include &lt;Vendors\Anhnt\Library\2. DoEasy. Service functions Lib\Objects\Graph\WForms\WinFormBase.mqh&gt;</t>
  </si>
  <si>
    <t>Objects\Graph\WForms\Common Controls</t>
  </si>
  <si>
    <t>#include "..\Graph\WForms\Common Controls\Button.mqh"</t>
  </si>
  <si>
    <t>#include &lt;Vendors\Anhnt\Library\2. DoEasy. Service functions Lib\Objects\Graph\WForms\Common Controls\Button.mqh&gt;</t>
  </si>
  <si>
    <t>CButtonListBox</t>
  </si>
  <si>
    <t>CElementsListBox</t>
  </si>
  <si>
    <t>#include "..\Graph\WForms\Common Controls\ButtonListBox.mqh"</t>
  </si>
  <si>
    <t>#include &lt;Vendors\Anhnt\Library\2. DoEasy. Service functions Lib\Objects\Graph\WForms\Common Controls\ButtonListBox.mqh&gt;</t>
  </si>
  <si>
    <t>#include "..\Graph\WForms\Common Controls\CheckBox.mqh"</t>
  </si>
  <si>
    <t>#include &lt;Vendors\Anhnt\Library\2. DoEasy. Service functions Lib\Objects\Graph\WForms\Common Controls\CheckBox.mqh&gt;</t>
  </si>
  <si>
    <t>CCheckedListBox</t>
  </si>
  <si>
    <t>#include "..\Graph\WForms\Common Controls\CheckedListBox.mqh"</t>
  </si>
  <si>
    <t>#include &lt;Vendors\Anhnt\Library\2. DoEasy. Service functions Lib\Objects\Graph\WForms\Common Controls\CheckedListBox.mqh&gt;</t>
  </si>
  <si>
    <t>CCommonBase</t>
  </si>
  <si>
    <t>#include "..\Graph\WForms\Common Controls\CommonBase.mqh"</t>
  </si>
  <si>
    <t>#include &lt;Vendors\Anhnt\Library\2. DoEasy. Service functions Lib\Objects\Graph\WForms\Common Controls\CommonBase.mqh&gt;</t>
  </si>
  <si>
    <t>#include "..\Graph\WForms\Common Controls\ElementsListBox.mqh"</t>
  </si>
  <si>
    <t>#include &lt;Vendors\Anhnt\Library\2. DoEasy. Service functions Lib\Objects\Graph\WForms\Common Controls\ElementsListBox.mqh&gt;</t>
  </si>
  <si>
    <t>#include "..\Graph\WForms\Common Controls\Label.mqh"</t>
  </si>
  <si>
    <t>#include &lt;Vendors\Anhnt\Library\2. DoEasy. Service functions Lib\Objects\Graph\WForms\Common Controls\Label.mqh&gt;</t>
  </si>
  <si>
    <t>CListBox</t>
  </si>
  <si>
    <t>#include "..\Graph\WForms\Common Controls\ListBox.mqh"</t>
  </si>
  <si>
    <t>#include &lt;Vendors\Anhnt\Library\2. DoEasy. Service functions Lib\Objects\Graph\WForms\Common Controls\ListBox.mqh&gt;</t>
  </si>
  <si>
    <t>CProgressBar</t>
  </si>
  <si>
    <t>#include "..\Graph\WForms\Common Controls\ProgressBar.mqh"</t>
  </si>
  <si>
    <t>#include &lt;Vendors\Anhnt\Library\2. DoEasy. Service functions Lib\Objects\Graph\WForms\Common Controls\ProgressBar.mqh&gt;</t>
  </si>
  <si>
    <t>#include "..\Graph\WForms\Common Controls\RadioButton.mqh"</t>
  </si>
  <si>
    <t>#include &lt;Vendors\Anhnt\Library\2. DoEasy. Service functions Lib\Objects\Graph\WForms\Common Controls\RadioButton.mqh&gt;</t>
  </si>
  <si>
    <t>CToolTip</t>
  </si>
  <si>
    <t>CHintBase</t>
  </si>
  <si>
    <t>#include "..\Graph\WForms\Common Controls\ToolTip.mqh"</t>
  </si>
  <si>
    <t>#include &lt;Vendors\Anhnt\Library\2. DoEasy. Service functions Lib\Objects\Graph\WForms\Common Controls\ToolTip.mqh&gt;</t>
  </si>
  <si>
    <t>Objects\Graph\WForms\Containers</t>
  </si>
  <si>
    <t>#include "..\Graph\WForms\Containers\Container.mqh"</t>
  </si>
  <si>
    <t>#include &lt;Vendors\Anhnt\Library\2. DoEasy. Service functions Lib\Objects\Graph\WForms\Containers\Container.mqh&gt;</t>
  </si>
  <si>
    <t>#include "..\Graph\WForms\Containers\GroupBox.mqh"</t>
  </si>
  <si>
    <t>#include &lt;Vendors\Anhnt\Library\2. DoEasy. Service functions Lib\Objects\Graph\WForms\Containers\GroupBox.mqh&gt;</t>
  </si>
  <si>
    <t>#include "..\Graph\WForms\Containers\Panel.mqh"</t>
  </si>
  <si>
    <t>#include &lt;Vendors\Anhnt\Library\2. DoEasy. Service functions Lib\Objects\Graph\WForms\Containers\Panel.mqh&gt;</t>
  </si>
  <si>
    <t>CSplitContainer</t>
  </si>
  <si>
    <t>#include "..\Graph\WForms\Containers\SplitContainer.mqh"</t>
  </si>
  <si>
    <t>#include &lt;Vendors\Anhnt\Library\2. DoEasy. Service functions Lib\Objects\Graph\WForms\Containers\SplitContainer.mqh&gt;</t>
  </si>
  <si>
    <t>CTabControl</t>
  </si>
  <si>
    <t>#include "..\Graph\WForms\Containers\TabControl.mqh"</t>
  </si>
  <si>
    <t>#include &lt;Vendors\Anhnt\Library\2. DoEasy. Service functions Lib\Objects\Graph\WForms\Containers\TabControl.mqh&gt;</t>
  </si>
  <si>
    <t>Objects\Graph\WForms\Helpers</t>
  </si>
  <si>
    <t>CArrowButton</t>
  </si>
  <si>
    <t>#include "..\Graph\WForms\Helpers\ArrowButton.mqh"</t>
  </si>
  <si>
    <t>#include &lt;Vendors\Anhnt\Library\2. DoEasy. Service functions Lib\Objects\Graph\WForms\Helpers\ArrowButton.mqh&gt;</t>
  </si>
  <si>
    <t>CArrowDownButton</t>
  </si>
  <si>
    <t>#include "..\Graph\WForms\Helpers\ArrowDownButton.mqh"</t>
  </si>
  <si>
    <t>#include &lt;Vendors\Anhnt\Library\2. DoEasy. Service functions Lib\Objects\Graph\WForms\Helpers\ArrowDownButton.mqh&gt;</t>
  </si>
  <si>
    <t>CArrowLeftButton</t>
  </si>
  <si>
    <t>#include "..\Graph\WForms\Helpers\ArrowLeftButton.mqh"</t>
  </si>
  <si>
    <t>#include &lt;Vendors\Anhnt\Library\2. DoEasy. Service functions Lib\Objects\Graph\WForms\Helpers\ArrowLeftButton.mqh&gt;</t>
  </si>
  <si>
    <t>CArrowLeftRightBox</t>
  </si>
  <si>
    <t>#include "..\Graph\WForms\Helpers\ArrowLeftRightBox.mqh"</t>
  </si>
  <si>
    <t>#include &lt;Vendors\Anhnt\Library\2. DoEasy. Service functions Lib\Objects\Graph\WForms\Helpers\ArrowLeftRightBox.mqh&gt;</t>
  </si>
  <si>
    <t>CArrowRightButton</t>
  </si>
  <si>
    <t>#include "..\Graph\WForms\Helpers\ArrowRightButton.mqh"</t>
  </si>
  <si>
    <t>#include &lt;Vendors\Anhnt\Library\2. DoEasy. Service functions Lib\Objects\Graph\WForms\Helpers\ArrowRightButton.mqh&gt;</t>
  </si>
  <si>
    <t>CArrowUpButton</t>
  </si>
  <si>
    <t>#include "..\Graph\WForms\Helpers\ArrowUpButton.mqh"</t>
  </si>
  <si>
    <t>#include &lt;Vendors\Anhnt\Library\2. DoEasy. Service functions Lib\Objects\Graph\WForms\Helpers\ArrowUpButton.mqh&gt;</t>
  </si>
  <si>
    <t>CArrowUpDownBox</t>
  </si>
  <si>
    <t>#include "..\Graph\WForms\Helpers\ArrowUpDownBox.mqh"</t>
  </si>
  <si>
    <t>#include &lt;Vendors\Anhnt\Library\2. DoEasy. Service functions Lib\Objects\Graph\WForms\Helpers\ArrowUpDownBox.mqh&gt;</t>
  </si>
  <si>
    <t>CBarProgressBar</t>
  </si>
  <si>
    <t>#include "..\Graph\WForms\Helpers\BarProgressBar.mqh"</t>
  </si>
  <si>
    <t>#include &lt;Vendors\Anhnt\Library\2. DoEasy. Service functions Lib\Objects\Graph\WForms\Helpers\BarProgressBar.mqh&gt;</t>
  </si>
  <si>
    <t>#include "..\Graph\WForms\Helpers\HintBase.mqh"</t>
  </si>
  <si>
    <t>#include &lt;Vendors\Anhnt\Library\2. DoEasy. Service functions Lib\Objects\Graph\WForms\Helpers\HintBase.mqh&gt;</t>
  </si>
  <si>
    <t>CHintMoveDown</t>
  </si>
  <si>
    <t>#include "..\Graph\WForms\Helpers\HintMoveDown.mqh"</t>
  </si>
  <si>
    <t>#include &lt;Vendors\Anhnt\Library\2. DoEasy. Service functions Lib\Objects\Graph\WForms\Helpers\HintMoveDown.mqh&gt;</t>
  </si>
  <si>
    <t>CHintMoveLeft</t>
  </si>
  <si>
    <t>#include "..\Graph\WForms\Helpers\HintMoveLeft.mqh"</t>
  </si>
  <si>
    <t>#include &lt;Vendors\Anhnt\Library\2. DoEasy. Service functions Lib\Objects\Graph\WForms\Helpers\HintMoveLeft.mqh&gt;</t>
  </si>
  <si>
    <t>CHintMoveRight</t>
  </si>
  <si>
    <t>#include "..\Graph\WForms\Helpers\HintMoveRight.mqh"</t>
  </si>
  <si>
    <t>#include &lt;Vendors\Anhnt\Library\2. DoEasy. Service functions Lib\Objects\Graph\WForms\Helpers\HintMoveRight.mqh&gt;</t>
  </si>
  <si>
    <t>CHintMoveUp</t>
  </si>
  <si>
    <t>#include "..\Graph\WForms\Helpers\HintMoveUp.mqh"</t>
  </si>
  <si>
    <t>#include &lt;Vendors\Anhnt\Library\2. DoEasy. Service functions Lib\Objects\Graph\WForms\Helpers\HintMoveUp.mqh&gt;</t>
  </si>
  <si>
    <t>CListBoxItem</t>
  </si>
  <si>
    <t>#include "..\Graph\WForms\Helpers\ListBoxItem.mqh"</t>
  </si>
  <si>
    <t>#include &lt;Vendors\Anhnt\Library\2. DoEasy. Service functions Lib\Objects\Graph\WForms\Helpers\ListBoxItem.mqh&gt;</t>
  </si>
  <si>
    <t>CScrollBar</t>
  </si>
  <si>
    <t>#include "..\Graph\WForms\Helpers\ScrollBar.mqh"</t>
  </si>
  <si>
    <t>#include &lt;Vendors\Anhnt\Library\2. DoEasy. Service functions Lib\Objects\Graph\WForms\Helpers\ScrollBar.mqh&gt;</t>
  </si>
  <si>
    <t>CScrollBarHorisontal</t>
  </si>
  <si>
    <t>#include "..\Graph\WForms\Helpers\ScrollBarHorisontal.mqh"</t>
  </si>
  <si>
    <t>#include &lt;Vendors\Anhnt\Library\2. DoEasy. Service functions Lib\Objects\Graph\WForms\Helpers\ScrollBarHorisontal.mqh&gt;</t>
  </si>
  <si>
    <t>CScrollBarThumb</t>
  </si>
  <si>
    <t>#include "..\Graph\WForms\Helpers\ScrollBarThumb.mqh"</t>
  </si>
  <si>
    <t>#include &lt;Vendors\Anhnt\Library\2. DoEasy. Service functions Lib\Objects\Graph\WForms\Helpers\ScrollBarThumb.mqh&gt;</t>
  </si>
  <si>
    <t>CScrollBarVertical</t>
  </si>
  <si>
    <t>#include "..\Graph\WForms\Helpers\ScrollBarVertical.mqh"</t>
  </si>
  <si>
    <t>#include &lt;Vendors\Anhnt\Library\2. DoEasy. Service functions Lib\Objects\Graph\WForms\Helpers\ScrollBarVertical.mqh&gt;</t>
  </si>
  <si>
    <t>CSplitContainerPanel</t>
  </si>
  <si>
    <t>#include "..\Graph\WForms\Helpers\SplitContainerPanel.mqh"</t>
  </si>
  <si>
    <t>#include &lt;Vendors\Anhnt\Library\2. DoEasy. Service functions Lib\Objects\Graph\WForms\Helpers\SplitContainerPanel.mqh&gt;</t>
  </si>
  <si>
    <t>CSplitter</t>
  </si>
  <si>
    <t>#include "..\Graph\WForms\Helpers\Splitter.mqh"</t>
  </si>
  <si>
    <t>#include &lt;Vendors\Anhnt\Library\2. DoEasy. Service functions Lib\Objects\Graph\WForms\Helpers\Splitter.mqh&gt;</t>
  </si>
  <si>
    <t>CTabField</t>
  </si>
  <si>
    <t>#include "..\Graph\WForms\Helpers\TabField.mqh"</t>
  </si>
  <si>
    <t>#include &lt;Vendors\Anhnt\Library\2. DoEasy. Service functions Lib\Objects\Graph\WForms\Helpers\TabField.mqh&gt;</t>
  </si>
  <si>
    <t>CTabHeader</t>
  </si>
  <si>
    <t>#include "..\Graph\WForms\Helpers\TabHeader.mqh"</t>
  </si>
  <si>
    <t>#include &lt;Vendors\Anhnt\Library\2. DoEasy. Service functions Lib\Objects\Graph\WForms\Helpers\TabHeader.mqh&gt;</t>
  </si>
  <si>
    <t>Objects\Indicators</t>
  </si>
  <si>
    <t>CBuffer</t>
  </si>
  <si>
    <t>#include "..\Indicators\Buffer.mqh"</t>
  </si>
  <si>
    <t>#include &lt;Vendors\Anhnt\Library\2. DoEasy. Service functions Lib\Objects\Indicators\Buffer.mqh&gt;</t>
  </si>
  <si>
    <t>CBufferArrow</t>
  </si>
  <si>
    <t>#include "..\Indicators\BufferArrow.mqh"</t>
  </si>
  <si>
    <t>#include &lt;Vendors\Anhnt\Library\2. DoEasy. Service functions Lib\Objects\Indicators\BufferArrow.mqh&gt;</t>
  </si>
  <si>
    <t>CBufferBars</t>
  </si>
  <si>
    <t>#include "..\Indicators\BufferBars.mqh"</t>
  </si>
  <si>
    <t>#include &lt;Vendors\Anhnt\Library\2. DoEasy. Service functions Lib\Objects\Indicators\BufferBars.mqh&gt;</t>
  </si>
  <si>
    <t>CBufferCalculate</t>
  </si>
  <si>
    <t>#include "..\Indicators\BufferCalculate.mqh"</t>
  </si>
  <si>
    <t>#include &lt;Vendors\Anhnt\Library\2. DoEasy. Service functions Lib\Objects\Indicators\BufferCalculate.mqh&gt;</t>
  </si>
  <si>
    <t>CBufferCandles</t>
  </si>
  <si>
    <t>#include "..\Indicators\BufferCandles.mqh"</t>
  </si>
  <si>
    <t>#include &lt;Vendors\Anhnt\Library\2. DoEasy. Service functions Lib\Objects\Indicators\BufferCandles.mqh&gt;</t>
  </si>
  <si>
    <t>CBufferFilling</t>
  </si>
  <si>
    <t>#include "..\Indicators\BufferFilling.mqh"</t>
  </si>
  <si>
    <t>#include &lt;Vendors\Anhnt\Library\2. DoEasy. Service functions Lib\Objects\Indicators\BufferFilling.mqh&gt;</t>
  </si>
  <si>
    <t>CBufferHistogram</t>
  </si>
  <si>
    <t>#include "..\Indicators\BufferHistogram.mqh"</t>
  </si>
  <si>
    <t>#include &lt;Vendors\Anhnt\Library\2. DoEasy. Service functions Lib\Objects\Indicators\BufferHistogram.mqh&gt;</t>
  </si>
  <si>
    <t>CBufferHistogram2</t>
  </si>
  <si>
    <t>#include "..\Indicators\BufferHistogram2.mqh"</t>
  </si>
  <si>
    <t>#include &lt;Vendors\Anhnt\Library\2. DoEasy. Service functions Lib\Objects\Indicators\BufferHistogram2.mqh&gt;</t>
  </si>
  <si>
    <t>CBufferLine</t>
  </si>
  <si>
    <t>#include "..\Indicators\BufferLine.mqh"</t>
  </si>
  <si>
    <t>#include &lt;Vendors\Anhnt\Library\2. DoEasy. Service functions Lib\Objects\Indicators\BufferLine.mqh&gt;</t>
  </si>
  <si>
    <t>CBufferSection</t>
  </si>
  <si>
    <t>#include "..\Indicators\BufferSection.mqh"</t>
  </si>
  <si>
    <t>#include &lt;Vendors\Anhnt\Library\2. DoEasy. Service functions Lib\Objects\Indicators\BufferSection.mqh&gt;</t>
  </si>
  <si>
    <t>CBufferZigZag</t>
  </si>
  <si>
    <t>#include "..\Indicators\BufferZigZag.mqh"</t>
  </si>
  <si>
    <t>#include &lt;Vendors\Anhnt\Library\2. DoEasy. Service functions Lib\Objects\Indicators\BufferZigZag.mqh&gt;</t>
  </si>
  <si>
    <t>CDataInd</t>
  </si>
  <si>
    <t>#include "..\Indicators\DataInd.mqh"</t>
  </si>
  <si>
    <t>#include &lt;Vendors\Anhnt\Library\2. DoEasy. Service functions Lib\Objects\Indicators\DataInd.mqh&gt;</t>
  </si>
  <si>
    <t>CIndicatorDE</t>
  </si>
  <si>
    <t>#include "..\Indicators\IndicatorDE.mqh"</t>
  </si>
  <si>
    <t>#include &lt;Vendors\Anhnt\Library\2. DoEasy. Service functions Lib\Objects\Indicators\IndicatorDE.mqh&gt;</t>
  </si>
  <si>
    <t>CSeriesDataInd</t>
  </si>
  <si>
    <t>#include "..\Indicators\SeriesDataInd.mqh"</t>
  </si>
  <si>
    <t>#include &lt;Vendors\Anhnt\Library\2. DoEasy. Service functions Lib\Objects\Indicators\SeriesDataInd.mqh&gt;</t>
  </si>
  <si>
    <t>Objects\Indicators\Standard</t>
  </si>
  <si>
    <t>CIndAC</t>
  </si>
  <si>
    <t>#include "..\Indicators\Standard\IndAC.mqh"</t>
  </si>
  <si>
    <t>#include &lt;Vendors\Anhnt\Library\2. DoEasy. Service functions Lib\Objects\Indicators\Standard\IndAC.mqh&gt;</t>
  </si>
  <si>
    <t>CIndAD</t>
  </si>
  <si>
    <t>#include "..\Indicators\Standard\IndAD.mqh"</t>
  </si>
  <si>
    <t>#include &lt;Vendors\Anhnt\Library\2. DoEasy. Service functions Lib\Objects\Indicators\Standard\IndAD.mqh&gt;</t>
  </si>
  <si>
    <t>CIndADX</t>
  </si>
  <si>
    <t>#include "..\Indicators\Standard\IndADX.mqh"</t>
  </si>
  <si>
    <t>#include &lt;Vendors\Anhnt\Library\2. DoEasy. Service functions Lib\Objects\Indicators\Standard\IndADX.mqh&gt;</t>
  </si>
  <si>
    <t>CIndADXW</t>
  </si>
  <si>
    <t>#include "..\Indicators\Standard\IndADXW.mqh"</t>
  </si>
  <si>
    <t>#include &lt;Vendors\Anhnt\Library\2. DoEasy. Service functions Lib\Objects\Indicators\Standard\IndADXW.mqh&gt;</t>
  </si>
  <si>
    <t>CIndAlligator</t>
  </si>
  <si>
    <t>#include "..\Indicators\Standard\IndAlligator.mqh"</t>
  </si>
  <si>
    <t>#include &lt;Vendors\Anhnt\Library\2. DoEasy. Service functions Lib\Objects\Indicators\Standard\IndAlligator.mqh&gt;</t>
  </si>
  <si>
    <t>CIndAMA</t>
  </si>
  <si>
    <t>#include "..\Indicators\Standard\IndAMA.mqh"</t>
  </si>
  <si>
    <t>#include &lt;Vendors\Anhnt\Library\2. DoEasy. Service functions Lib\Objects\Indicators\Standard\IndAMA.mqh&gt;</t>
  </si>
  <si>
    <t>CIndAO</t>
  </si>
  <si>
    <t>#include "..\Indicators\Standard\IndAO.mqh"</t>
  </si>
  <si>
    <t>#include &lt;Vendors\Anhnt\Library\2. DoEasy. Service functions Lib\Objects\Indicators\Standard\IndAO.mqh&gt;</t>
  </si>
  <si>
    <t>CIndATR</t>
  </si>
  <si>
    <t>#include "..\Indicators\Standard\IndATR.mqh"</t>
  </si>
  <si>
    <t>#include &lt;Vendors\Anhnt\Library\2. DoEasy. Service functions Lib\Objects\Indicators\Standard\IndATR.mqh&gt;</t>
  </si>
  <si>
    <t>CIndBands</t>
  </si>
  <si>
    <t>#include "..\Indicators\Standard\IndBands.mqh"</t>
  </si>
  <si>
    <t>#include &lt;Vendors\Anhnt\Library\2. DoEasy. Service functions Lib\Objects\Indicators\Standard\IndBands.mqh&gt;</t>
  </si>
  <si>
    <t>CIndBears</t>
  </si>
  <si>
    <t>#include "..\Indicators\Standard\IndBears.mqh"</t>
  </si>
  <si>
    <t>#include &lt;Vendors\Anhnt\Library\2. DoEasy. Service functions Lib\Objects\Indicators\Standard\IndBears.mqh&gt;</t>
  </si>
  <si>
    <t>CIndBulls</t>
  </si>
  <si>
    <t>#include "..\Indicators\Standard\IndBulls.mqh"</t>
  </si>
  <si>
    <t>#include &lt;Vendors\Anhnt\Library\2. DoEasy. Service functions Lib\Objects\Indicators\Standard\IndBulls.mqh&gt;</t>
  </si>
  <si>
    <t>CIndBWMFI</t>
  </si>
  <si>
    <t>#include "..\Indicators\Standard\IndBWMFI.mqh"</t>
  </si>
  <si>
    <t>#include &lt;Vendors\Anhnt\Library\2. DoEasy. Service functions Lib\Objects\Indicators\Standard\IndBWMFI.mqh&gt;</t>
  </si>
  <si>
    <t>CIndCCI</t>
  </si>
  <si>
    <t>#include "..\Indicators\Standard\IndCCI.mqh"</t>
  </si>
  <si>
    <t>#include &lt;Vendors\Anhnt\Library\2. DoEasy. Service functions Lib\Objects\Indicators\Standard\IndCCI.mqh&gt;</t>
  </si>
  <si>
    <t>CIndCHO</t>
  </si>
  <si>
    <t>#include "..\Indicators\Standard\IndChaikin.mqh"</t>
  </si>
  <si>
    <t>#include &lt;Vendors\Anhnt\Library\2. DoEasy. Service functions Lib\Objects\Indicators\Standard\IndChaikin.mqh&gt;</t>
  </si>
  <si>
    <t>CIndCustom</t>
  </si>
  <si>
    <t>#include "..\Indicators\Standard\IndCustom.mqh"</t>
  </si>
  <si>
    <t>#include &lt;Vendors\Anhnt\Library\2. DoEasy. Service functions Lib\Objects\Indicators\Standard\IndCustom.mqh&gt;</t>
  </si>
  <si>
    <t>CIndDEMA</t>
  </si>
  <si>
    <t>#include "..\Indicators\Standard\IndDEMA.mqh"</t>
  </si>
  <si>
    <t>#include &lt;Vendors\Anhnt\Library\2. DoEasy. Service functions Lib\Objects\Indicators\Standard\IndDEMA.mqh&gt;</t>
  </si>
  <si>
    <t>CIndDeMarker</t>
  </si>
  <si>
    <t>#include "..\Indicators\Standard\IndDeMarker.mqh"</t>
  </si>
  <si>
    <t>#include &lt;Vendors\Anhnt\Library\2. DoEasy. Service functions Lib\Objects\Indicators\Standard\IndDeMarker.mqh&gt;</t>
  </si>
  <si>
    <t>CIndEnvelopes</t>
  </si>
  <si>
    <t>#include "..\Indicators\Standard\IndEnvelopes.mqh"</t>
  </si>
  <si>
    <t>#include &lt;Vendors\Anhnt\Library\2. DoEasy. Service functions Lib\Objects\Indicators\Standard\IndEnvelopes.mqh&gt;</t>
  </si>
  <si>
    <t>CIndForce</t>
  </si>
  <si>
    <t>#include "..\Indicators\Standard\IndForce.mqh"</t>
  </si>
  <si>
    <t>#include &lt;Vendors\Anhnt\Library\2. DoEasy. Service functions Lib\Objects\Indicators\Standard\IndForce.mqh&gt;</t>
  </si>
  <si>
    <t>CIndFractals</t>
  </si>
  <si>
    <t>#include "..\Indicators\Standard\IndFractals.mqh"</t>
  </si>
  <si>
    <t>#include &lt;Vendors\Anhnt\Library\2. DoEasy. Service functions Lib\Objects\Indicators\Standard\IndFractals.mqh&gt;</t>
  </si>
  <si>
    <t>CIndFRAMA</t>
  </si>
  <si>
    <t>#include "..\Indicators\Standard\IndFRAMA.mqh"</t>
  </si>
  <si>
    <t>#include &lt;Vendors\Anhnt\Library\2. DoEasy. Service functions Lib\Objects\Indicators\Standard\IndFRAMA.mqh&gt;</t>
  </si>
  <si>
    <t>CIndGator</t>
  </si>
  <si>
    <t>#include "..\Indicators\Standard\IndGator.mqh"</t>
  </si>
  <si>
    <t>#include &lt;Vendors\Anhnt\Library\2. DoEasy. Service functions Lib\Objects\Indicators\Standard\IndGator.mqh&gt;</t>
  </si>
  <si>
    <t>CIndIchimoku</t>
  </si>
  <si>
    <t>#include "..\Indicators\Standard\IndIchimoku.mqh"</t>
  </si>
  <si>
    <t>#include &lt;Vendors\Anhnt\Library\2. DoEasy. Service functions Lib\Objects\Indicators\Standard\IndIchimoku.mqh&gt;</t>
  </si>
  <si>
    <t>CIndMA</t>
  </si>
  <si>
    <t>#include "..\Indicators\Standard\IndMA.mqh"</t>
  </si>
  <si>
    <t>#include &lt;Vendors\Anhnt\Library\2. DoEasy. Service functions Lib\Objects\Indicators\Standard\IndMA.mqh&gt;</t>
  </si>
  <si>
    <t>CIndMACD</t>
  </si>
  <si>
    <t>#include "..\Indicators\Standard\IndMACD.mqh"</t>
  </si>
  <si>
    <t>#include &lt;Vendors\Anhnt\Library\2. DoEasy. Service functions Lib\Objects\Indicators\Standard\IndMACD.mqh&gt;</t>
  </si>
  <si>
    <t>CIndMFI</t>
  </si>
  <si>
    <t>#include "..\Indicators\Standard\IndMFI.mqh"</t>
  </si>
  <si>
    <t>#include &lt;Vendors\Anhnt\Library\2. DoEasy. Service functions Lib\Objects\Indicators\Standard\IndMFI.mqh&gt;</t>
  </si>
  <si>
    <t>CIndMomentum</t>
  </si>
  <si>
    <t>#include "..\Indicators\Standard\IndMomentum.mqh"</t>
  </si>
  <si>
    <t>#include &lt;Vendors\Anhnt\Library\2. DoEasy. Service functions Lib\Objects\Indicators\Standard\IndMomentum.mqh&gt;</t>
  </si>
  <si>
    <t>CIndOBV</t>
  </si>
  <si>
    <t>#include "..\Indicators\Standard\IndOBV.mqh"</t>
  </si>
  <si>
    <t>#include &lt;Vendors\Anhnt\Library\2. DoEasy. Service functions Lib\Objects\Indicators\Standard\IndOBV.mqh&gt;</t>
  </si>
  <si>
    <t>CIndOsMA</t>
  </si>
  <si>
    <t>#include "..\Indicators\Standard\IndOsMA.mqh"</t>
  </si>
  <si>
    <t>#include &lt;Vendors\Anhnt\Library\2. DoEasy. Service functions Lib\Objects\Indicators\Standard\IndOsMA.mqh&gt;</t>
  </si>
  <si>
    <t>CIndRSI</t>
  </si>
  <si>
    <t>#include "..\Indicators\Standard\IndRSI.mqh"</t>
  </si>
  <si>
    <t>#include &lt;Vendors\Anhnt\Library\2. DoEasy. Service functions Lib\Objects\Indicators\Standard\IndRSI.mqh&gt;</t>
  </si>
  <si>
    <t>CIndRVI</t>
  </si>
  <si>
    <t>#include "..\Indicators\Standard\IndRVI.mqh"</t>
  </si>
  <si>
    <t>#include &lt;Vendors\Anhnt\Library\2. DoEasy. Service functions Lib\Objects\Indicators\Standard\IndRVI.mqh&gt;</t>
  </si>
  <si>
    <t>CIndSAR</t>
  </si>
  <si>
    <t>#include "..\Indicators\Standard\IndSAR.mqh"</t>
  </si>
  <si>
    <t>#include &lt;Vendors\Anhnt\Library\2. DoEasy. Service functions Lib\Objects\Indicators\Standard\IndSAR.mqh&gt;</t>
  </si>
  <si>
    <t>CIndStDev</t>
  </si>
  <si>
    <t>#include "..\Indicators\Standard\IndStDev.mqh"</t>
  </si>
  <si>
    <t>#include &lt;Vendors\Anhnt\Library\2. DoEasy. Service functions Lib\Objects\Indicators\Standard\IndStDev.mqh&gt;</t>
  </si>
  <si>
    <t>CIndStoch</t>
  </si>
  <si>
    <t>#include "..\Indicators\Standard\IndStoch.mqh"</t>
  </si>
  <si>
    <t>#include &lt;Vendors\Anhnt\Library\2. DoEasy. Service functions Lib\Objects\Indicators\Standard\IndStoch.mqh&gt;</t>
  </si>
  <si>
    <t>CIndTEMA</t>
  </si>
  <si>
    <t>#include "..\Indicators\Standard\IndTEMA.mqh"</t>
  </si>
  <si>
    <t>#include &lt;Vendors\Anhnt\Library\2. DoEasy. Service functions Lib\Objects\Indicators\Standard\IndTEMA.mqh&gt;</t>
  </si>
  <si>
    <t>CIndTRIX</t>
  </si>
  <si>
    <t>#include "..\Indicators\Standard\IndTRIX.mqh"</t>
  </si>
  <si>
    <t>#include &lt;Vendors\Anhnt\Library\2. DoEasy. Service functions Lib\Objects\Indicators\Standard\IndTRIX.mqh&gt;</t>
  </si>
  <si>
    <t>CIndVIDYA</t>
  </si>
  <si>
    <t>#include "..\Indicators\Standard\IndVIDYA.mqh"</t>
  </si>
  <si>
    <t>#include &lt;Vendors\Anhnt\Library\2. DoEasy. Service functions Lib\Objects\Indicators\Standard\IndVIDYA.mqh&gt;</t>
  </si>
  <si>
    <t>CIndVolumes</t>
  </si>
  <si>
    <t>#include "..\Indicators\Standard\IndVolumes.mqh"</t>
  </si>
  <si>
    <t>#include &lt;Vendors\Anhnt\Library\2. DoEasy. Service functions Lib\Objects\Indicators\Standard\IndVolumes.mqh&gt;</t>
  </si>
  <si>
    <t>CIndWPR</t>
  </si>
  <si>
    <t>#include "..\Indicators\Standard\IndWPR.mqh"</t>
  </si>
  <si>
    <t>#include &lt;Vendors\Anhnt\Library\2. DoEasy. Service functions Lib\Objects\Indicators\Standard\IndWPR.mqh&gt;</t>
  </si>
  <si>
    <t>Objects\MQLSignalBase</t>
  </si>
  <si>
    <t>CMQLSignal</t>
  </si>
  <si>
    <t>#include "..\MQLSignalBase\MQLSignal.mqh"</t>
  </si>
  <si>
    <t>#include &lt;Vendors\Anhnt\Library\2. DoEasy. Service functions Lib\Objects\MQLSignalBase\MQLSignal.mqh&gt;</t>
  </si>
  <si>
    <t>Objects\Orders</t>
  </si>
  <si>
    <t>CHistoryBalance</t>
  </si>
  <si>
    <t>COrder</t>
  </si>
  <si>
    <t>#include "..\Orders\HistoryBalance.mqh"</t>
  </si>
  <si>
    <t>#include &lt;Vendors\Anhnt\Library\2. DoEasy. Service functions Lib\Objects\Orders\HistoryBalance.mqh&gt;</t>
  </si>
  <si>
    <t>CHistoryDeal</t>
  </si>
  <si>
    <t>#include "..\Orders\HistoryDeal.mqh"</t>
  </si>
  <si>
    <t>#include &lt;Vendors\Anhnt\Library\2. DoEasy. Service functions Lib\Objects\Orders\HistoryDeal.mqh&gt;</t>
  </si>
  <si>
    <t>CHistoryOrder</t>
  </si>
  <si>
    <t>#include "..\Orders\HistoryOrder.mqh"</t>
  </si>
  <si>
    <t>#include &lt;Vendors\Anhnt\Library\2. DoEasy. Service functions Lib\Objects\Orders\HistoryOrder.mqh&gt;</t>
  </si>
  <si>
    <t>CHistoryPending</t>
  </si>
  <si>
    <t>#include "..\Orders\HistoryPending.mqh"</t>
  </si>
  <si>
    <t>#include &lt;Vendors\Anhnt\Library\2. DoEasy. Service functions Lib\Objects\Orders\HistoryPending.mqh&gt;</t>
  </si>
  <si>
    <t>CMarketOrder</t>
  </si>
  <si>
    <t>#include "..\Orders\MarketOrder.mqh"</t>
  </si>
  <si>
    <t>#include &lt;Vendors\Anhnt\Library\2. DoEasy. Service functions Lib\Objects\Orders\MarketOrder.mqh&gt;</t>
  </si>
  <si>
    <t>CMarketPending</t>
  </si>
  <si>
    <t>#include "..\Orders\MarketPending.mqh"</t>
  </si>
  <si>
    <t>#include &lt;Vendors\Anhnt\Library\2. DoEasy. Service functions Lib\Objects\Orders\MarketPending.mqh&gt;</t>
  </si>
  <si>
    <t>CMarketPosition</t>
  </si>
  <si>
    <t>#include "..\Orders\MarketPosition.mqh"</t>
  </si>
  <si>
    <t>#include &lt;Vendors\Anhnt\Library\2. DoEasy. Service functions Lib\Objects\Orders\MarketPosition.mqh&gt;</t>
  </si>
  <si>
    <t>#include "..\Orders\Order.mqh"</t>
  </si>
  <si>
    <t>#include &lt;Vendors\Anhnt\Library\2. DoEasy. Service functions Lib\Objects\Orders\Order.mqh&gt;</t>
  </si>
  <si>
    <t>Objects\PendRequest</t>
  </si>
  <si>
    <t>CPendReqClose</t>
  </si>
  <si>
    <t>CPendRequest</t>
  </si>
  <si>
    <t>#include "..\PendRequest\PendReqClose.mqh"</t>
  </si>
  <si>
    <t>#include &lt;Vendors\Anhnt\Library\2. DoEasy. Service functions Lib\Objects\PendRequest\PendReqClose.mqh&gt;</t>
  </si>
  <si>
    <t>CPendReqModify</t>
  </si>
  <si>
    <t>#include "..\PendRequest\PendReqModify.mqh"</t>
  </si>
  <si>
    <t>#include &lt;Vendors\Anhnt\Library\2. DoEasy. Service functions Lib\Objects\PendRequest\PendReqModify.mqh&gt;</t>
  </si>
  <si>
    <t>CPendReqOpen</t>
  </si>
  <si>
    <t>#include "..\PendRequest\PendReqOpen.mqh"</t>
  </si>
  <si>
    <t>#include &lt;Vendors\Anhnt\Library\2. DoEasy. Service functions Lib\Objects\PendRequest\PendReqOpen.mqh&gt;</t>
  </si>
  <si>
    <t>CPendReqPlace</t>
  </si>
  <si>
    <t>#include "..\PendRequest\PendReqPlace.mqh"</t>
  </si>
  <si>
    <t>#include &lt;Vendors\Anhnt\Library\2. DoEasy. Service functions Lib\Objects\PendRequest\PendReqPlace.mqh&gt;</t>
  </si>
  <si>
    <t>CPendReqRemove</t>
  </si>
  <si>
    <t>#include "..\PendRequest\PendReqRemove.mqh"</t>
  </si>
  <si>
    <t>#include &lt;Vendors\Anhnt\Library\2. DoEasy. Service functions Lib\Objects\PendRequest\PendReqRemove.mqh&gt;</t>
  </si>
  <si>
    <t>CPendReqSLTP</t>
  </si>
  <si>
    <t>#include "..\PendRequest\PendReqSLTP.mqh"</t>
  </si>
  <si>
    <t>#include &lt;Vendors\Anhnt\Library\2. DoEasy. Service functions Lib\Objects\PendRequest\PendReqSLTP.mqh&gt;</t>
  </si>
  <si>
    <t>#include "..\PendRequest\PendRequest.mqh"</t>
  </si>
  <si>
    <t>#include &lt;Vendors\Anhnt\Library\2. DoEasy. Service functions Lib\Objects\PendRequest\PendRequest.mqh&gt;</t>
  </si>
  <si>
    <t>Objects\Series</t>
  </si>
  <si>
    <t>CBar</t>
  </si>
  <si>
    <t>#include "..\Series\Bar.mqh"</t>
  </si>
  <si>
    <t>#include &lt;Vendors\Anhnt\Library\2. DoEasy. Service functions Lib\Objects\Series\Bar.mqh&gt;</t>
  </si>
  <si>
    <t>CPatternControl</t>
  </si>
  <si>
    <t>#include "..\Series\SeriesDE.mqh"</t>
  </si>
  <si>
    <t>#include &lt;Vendors\Anhnt\Library\2. DoEasy. Service functions Lib\Objects\Series\SeriesDE.mqh&gt;</t>
  </si>
  <si>
    <t>CPatternControlPinBar</t>
  </si>
  <si>
    <t>CPatternControlInsideBar</t>
  </si>
  <si>
    <t>CPatternControlOutsideBar</t>
  </si>
  <si>
    <t>CPatternsControl</t>
  </si>
  <si>
    <t>CSeriesDE</t>
  </si>
  <si>
    <t>CTimeSeriesDE</t>
  </si>
  <si>
    <t>#include "..\Series\TimeSeriesDE.mqh"</t>
  </si>
  <si>
    <t>#include &lt;Vendors\Anhnt\Library\2. DoEasy. Service functions Lib\Objects\Series\TimeSeriesDE.mqh&gt;</t>
  </si>
  <si>
    <t>Objects\Series\Patterns</t>
  </si>
  <si>
    <t>CPattern</t>
  </si>
  <si>
    <t>#include "..\Series\Patterns\Pattern.mqh"</t>
  </si>
  <si>
    <t>#include &lt;Vendors\Anhnt\Library\2. DoEasy. Service functions Lib\Objects\Series\Patterns\Pattern.mqh&gt;</t>
  </si>
  <si>
    <t>#include "..\Series\Patterns\PatternControl.mqh"</t>
  </si>
  <si>
    <t>#include &lt;Vendors\Anhnt\Library\2. DoEasy. Service functions Lib\Objects\Series\Patterns\PatternControl.mqh&gt;</t>
  </si>
  <si>
    <t>CPatternInsideBar</t>
  </si>
  <si>
    <t>#include "..\Series\Patterns\PatternInsideBar.mqh"</t>
  </si>
  <si>
    <t>#include &lt;Vendors\Anhnt\Library\2. DoEasy. Service functions Lib\Objects\Series\Patterns\PatternInsideBar.mqh&gt;</t>
  </si>
  <si>
    <t>CPatternOutsideBar</t>
  </si>
  <si>
    <t>#include "..\Series\Patterns\PatternOutsideBar.mqh"</t>
  </si>
  <si>
    <t>#include &lt;Vendors\Anhnt\Library\2. DoEasy. Service functions Lib\Objects\Series\Patterns\PatternOutsideBar.mqh&gt;</t>
  </si>
  <si>
    <t>CPatternPinBar</t>
  </si>
  <si>
    <t>#include "..\Series\Patterns\PatternPinBar.mqh"</t>
  </si>
  <si>
    <t>#include &lt;Vendors\Anhnt\Library\2. DoEasy. Service functions Lib\Objects\Series\Patterns\PatternPinBar.mqh&gt;</t>
  </si>
  <si>
    <t>#include "..\Series\Patterns\PatternsControl.mqh"</t>
  </si>
  <si>
    <t>#include &lt;Vendors\Anhnt\Library\2. DoEasy. Service functions Lib\Objects\Series\Patterns\PatternsControl.mqh&gt;</t>
  </si>
  <si>
    <t>Objects\Symbols</t>
  </si>
  <si>
    <t>CSymbol</t>
  </si>
  <si>
    <t>#include "..\Symbols\Symbol.mqh"</t>
  </si>
  <si>
    <t>#include &lt;Vendors\Anhnt\Library\2. DoEasy. Service functions Lib\Objects\Symbols\Symbol.mqh&gt;</t>
  </si>
  <si>
    <t>CSymbolBonds</t>
  </si>
  <si>
    <t>#include "..\Symbols\SymbolBonds.mqh"</t>
  </si>
  <si>
    <t>#include &lt;Vendors\Anhnt\Library\2. DoEasy. Service functions Lib\Objects\Symbols\SymbolBonds.mqh&gt;</t>
  </si>
  <si>
    <t>CSymbolCFD</t>
  </si>
  <si>
    <t>#include "..\Symbols\SymbolCFD.mqh"</t>
  </si>
  <si>
    <t>#include &lt;Vendors\Anhnt\Library\2. DoEasy. Service functions Lib\Objects\Symbols\SymbolCFD.mqh&gt;</t>
  </si>
  <si>
    <t>CSymbolCollateral</t>
  </si>
  <si>
    <t>#include "..\Symbols\SymbolCollateral.mqh"</t>
  </si>
  <si>
    <t>#include &lt;Vendors\Anhnt\Library\2. DoEasy. Service functions Lib\Objects\Symbols\SymbolCollateral.mqh&gt;</t>
  </si>
  <si>
    <t>CSymbolCommodity</t>
  </si>
  <si>
    <t>#include "..\Symbols\SymbolCommodity.mqh"</t>
  </si>
  <si>
    <t>#include &lt;Vendors\Anhnt\Library\2. DoEasy. Service functions Lib\Objects\Symbols\SymbolCommodity.mqh&gt;</t>
  </si>
  <si>
    <t>CSymbolCommon</t>
  </si>
  <si>
    <t>#include "..\Symbols\SymbolCommon.mqh"</t>
  </si>
  <si>
    <t>#include &lt;Vendors\Anhnt\Library\2. DoEasy. Service functions Lib\Objects\Symbols\SymbolCommon.mqh&gt;</t>
  </si>
  <si>
    <t>CSymbolCrypto</t>
  </si>
  <si>
    <t>#include "..\Symbols\SymbolCrypto.mqh"</t>
  </si>
  <si>
    <t>#include &lt;Vendors\Anhnt\Library\2. DoEasy. Service functions Lib\Objects\Symbols\SymbolCrypto.mqh&gt;</t>
  </si>
  <si>
    <t>CSymbolCustom</t>
  </si>
  <si>
    <t>#include "..\Symbols\SymbolCustom.mqh"</t>
  </si>
  <si>
    <t>#include &lt;Vendors\Anhnt\Library\2. DoEasy. Service functions Lib\Objects\Symbols\SymbolCustom.mqh&gt;</t>
  </si>
  <si>
    <t>CSymbolExchange</t>
  </si>
  <si>
    <t>#include "..\Symbols\SymbolExchange.mqh"</t>
  </si>
  <si>
    <t>#include &lt;Vendors\Anhnt\Library\2. DoEasy. Service functions Lib\Objects\Symbols\SymbolExchange.mqh&gt;</t>
  </si>
  <si>
    <t>CSymbolFutures</t>
  </si>
  <si>
    <t>#include "..\Symbols\SymbolFutures.mqh"</t>
  </si>
  <si>
    <t>#include &lt;Vendors\Anhnt\Library\2. DoEasy. Service functions Lib\Objects\Symbols\SymbolFutures.mqh&gt;</t>
  </si>
  <si>
    <t>CSymbolFX</t>
  </si>
  <si>
    <t>#include "..\Symbols\SymbolFX.mqh"</t>
  </si>
  <si>
    <t>#include &lt;Vendors\Anhnt\Library\2. DoEasy. Service functions Lib\Objects\Symbols\SymbolFX.mqh&gt;</t>
  </si>
  <si>
    <t>CSymbolFXExotic</t>
  </si>
  <si>
    <t>#include "..\Symbols\SymbolFXExotic.mqh"</t>
  </si>
  <si>
    <t>#include &lt;Vendors\Anhnt\Library\2. DoEasy. Service functions Lib\Objects\Symbols\SymbolFXExotic.mqh&gt;</t>
  </si>
  <si>
    <t>CSymbolFXMajor</t>
  </si>
  <si>
    <t>#include "..\Symbols\SymbolFXMajor.mqh"</t>
  </si>
  <si>
    <t>#include &lt;Vendors\Anhnt\Library\2. DoEasy. Service functions Lib\Objects\Symbols\SymbolFXMajor.mqh&gt;</t>
  </si>
  <si>
    <t>CSymbolFXMinor</t>
  </si>
  <si>
    <t>#include "..\Symbols\SymbolFXMinor.mqh"</t>
  </si>
  <si>
    <t>#include &lt;Vendors\Anhnt\Library\2. DoEasy. Service functions Lib\Objects\Symbols\SymbolFXMinor.mqh&gt;</t>
  </si>
  <si>
    <t>CSymbolFXRub</t>
  </si>
  <si>
    <t>#include "..\Symbols\SymbolFXRub.mqh"</t>
  </si>
  <si>
    <t>#include &lt;Vendors\Anhnt\Library\2. DoEasy. Service functions Lib\Objects\Symbols\SymbolFXRub.mqh&gt;</t>
  </si>
  <si>
    <t>CSymbolIndex</t>
  </si>
  <si>
    <t>#include "..\Symbols\SymbolIndex.mqh"</t>
  </si>
  <si>
    <t>#include &lt;Vendors\Anhnt\Library\2. DoEasy. Service functions Lib\Objects\Symbols\SymbolIndex.mqh&gt;</t>
  </si>
  <si>
    <t>CSymbolIndicative</t>
  </si>
  <si>
    <t>#include "..\Symbols\SymbolIndicative.mqh"</t>
  </si>
  <si>
    <t>#include &lt;Vendors\Anhnt\Library\2. DoEasy. Service functions Lib\Objects\Symbols\SymbolIndicative.mqh&gt;</t>
  </si>
  <si>
    <t>CSymbolMetall</t>
  </si>
  <si>
    <t>#include "..\Symbols\SymbolMetall.mqh"</t>
  </si>
  <si>
    <t>#include &lt;Vendors\Anhnt\Library\2. DoEasy. Service functions Lib\Objects\Symbols\SymbolMetall.mqh&gt;</t>
  </si>
  <si>
    <t>CSymbolOption</t>
  </si>
  <si>
    <t>#include "..\Symbols\SymbolOption.mqh"</t>
  </si>
  <si>
    <t>#include &lt;Vendors\Anhnt\Library\2. DoEasy. Service functions Lib\Objects\Symbols\SymbolOption.mqh&gt;</t>
  </si>
  <si>
    <t>CSymbolStocks</t>
  </si>
  <si>
    <t>#include "..\Symbols\SymbolStocks.mqh"</t>
  </si>
  <si>
    <t>#include &lt;Vendors\Anhnt\Library\2. DoEasy. Service functions Lib\Objects\Symbols\SymbolStocks.mqh&gt;</t>
  </si>
  <si>
    <t>Objects\Ticks</t>
  </si>
  <si>
    <t>CDataTick</t>
  </si>
  <si>
    <t>#include "..\Ticks\DataTick.mqh"</t>
  </si>
  <si>
    <t>#include &lt;Vendors\Anhnt\Library\2. DoEasy. Service functions Lib\Objects\Ticks\DataTick.mqh&gt;</t>
  </si>
  <si>
    <t>CNewTickObj</t>
  </si>
  <si>
    <t>#include "..\Ticks\NewTickObj.mqh"</t>
  </si>
  <si>
    <t>#include &lt;Vendors\Anhnt\Library\2. DoEasy. Service functions Lib\Objects\Ticks\NewTickObj.mqh&gt;</t>
  </si>
  <si>
    <t>CTickSeries</t>
  </si>
  <si>
    <t>#include "..\Ticks\TickSeries.mqh"</t>
  </si>
  <si>
    <t>#include &lt;Vendors\Anhnt\Library\2. DoEasy. Service functions Lib\Objects\Ticks\TickSeries.mqh&gt;</t>
  </si>
  <si>
    <t>Objects\Trade</t>
  </si>
  <si>
    <t>CTradeObj</t>
  </si>
  <si>
    <t>#include "..\Trade\TradeObj.mqh"</t>
  </si>
  <si>
    <t>#include &lt;Vendors\Anhnt\Library\2. DoEasy. Service functions Lib\Objects\Trade\TradeObj.mqh&gt;</t>
  </si>
  <si>
    <t>Services</t>
  </si>
  <si>
    <t>CColors</t>
  </si>
  <si>
    <t>#include "..\..\Services\Colors.mqh"</t>
  </si>
  <si>
    <t>#include &lt;Vendors\Anhnt\Library\2. DoEasy. Service functions Lib\Services\Colors.mqh&gt;</t>
  </si>
  <si>
    <t>#include "..\..\Services\DELib.mqh"</t>
  </si>
  <si>
    <t>#include &lt;Vendors\Anhnt\Library\2. DoEasy. Service functions Lib\Services\DELib.mqh&gt;</t>
  </si>
  <si>
    <t>CFileGen</t>
  </si>
  <si>
    <t>#include "..\..\Services\FileGen.mqh"</t>
  </si>
  <si>
    <t>#include &lt;Vendors\Anhnt\Library\2. DoEasy. Service functions Lib\Services\FileGen.mqh&gt;</t>
  </si>
  <si>
    <t>CMessage</t>
  </si>
  <si>
    <t>#include "..\..\Services\Message.mqh"</t>
  </si>
  <si>
    <t>#include &lt;Vendors\Anhnt\Library\2. DoEasy. Service functions Lib\Services\Message.mqh&gt;</t>
  </si>
  <si>
    <t>CMouseState</t>
  </si>
  <si>
    <t>#include "..\..\Services\MouseState.mqh"</t>
  </si>
  <si>
    <t>#include &lt;Vendors\Anhnt\Library\2. DoEasy. Service functions Lib\Services\MouseState.mqh&gt;</t>
  </si>
  <si>
    <t>CNewBarObj</t>
  </si>
  <si>
    <t>#include "..\..\Services\NewBarObj.mqh"</t>
  </si>
  <si>
    <t>#include &lt;Vendors\Anhnt\Library\2. DoEasy. Service functions Lib\Services\NewBarObj.mqh&gt;</t>
  </si>
  <si>
    <t>CPause</t>
  </si>
  <si>
    <t>#include "..\..\Services\Pause.mqh"</t>
  </si>
  <si>
    <t>#include &lt;Vendors\Anhnt\Library\2. DoEasy. Service functions Lib\Services\Pause.mqh&gt;</t>
  </si>
  <si>
    <t>CDataPropObj</t>
  </si>
  <si>
    <t>#include "..\..\Services\Properties.mqh"</t>
  </si>
  <si>
    <t>#include &lt;Vendors\Anhnt\Library\2. DoEasy. Service functions Lib\Services\Properties.mqh&gt;</t>
  </si>
  <si>
    <t>CChangedProps</t>
  </si>
  <si>
    <t>CChangeHistory</t>
  </si>
  <si>
    <t>CProperties</t>
  </si>
  <si>
    <t>CSelect</t>
  </si>
  <si>
    <t>#include "..\..\Services\Select.mqh"</t>
  </si>
  <si>
    <t>#include &lt;Vendors\Anhnt\Library\2. DoEasy. Service functions Lib\Services\Select.mqh&gt;</t>
  </si>
  <si>
    <t>CTimerCounter</t>
  </si>
  <si>
    <t>#include "..\..\Services\TimerCounter.mqh"</t>
  </si>
  <si>
    <t>#include &lt;Vendors\Anhnt\Library\2. DoEasy. Service functions Lib\Services\TimerCounter.mqh&gt;</t>
  </si>
  <si>
    <t>CDataUnit</t>
  </si>
  <si>
    <t>#include "..\..\Services\XDimArray.mqh"</t>
  </si>
  <si>
    <t>#include &lt;Vendors\Anhnt\Library\2. DoEasy. Service functions Lib\Services\XDimArray.mqh&gt;</t>
  </si>
  <si>
    <t>CDataUnitLong</t>
  </si>
  <si>
    <t>CDimLong</t>
  </si>
  <si>
    <t>CXDimArrayLong</t>
  </si>
  <si>
    <t>CDataUnitDouble</t>
  </si>
  <si>
    <t>CDimDouble</t>
  </si>
  <si>
    <t>CXDimArrayDouble</t>
  </si>
  <si>
    <t>CDataUnitString</t>
  </si>
  <si>
    <t>CDimString</t>
  </si>
  <si>
    <t>CXDimArrayString</t>
  </si>
  <si>
    <t>C:\Users\nguye\AppData\Roaming\MetaQuotes\Terminal\D0E8209F77C8CF37AD8BF550E51FF075\MQL5\Include\Vendors\Anhnt\Library\4. Combination Lib\Timeseries</t>
  </si>
  <si>
    <t>C:\Users\nguye\AppData\Roaming\MetaQuotes\Terminal\D0E8209F77C8CF37AD8BF550E51FF075\MQL5\Include\Vendors\Anhnt\Library\4. Combination Lib\Timeseries\Series\TimeSeriesDE.mqh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</si>
</sst>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3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0" xfId="0" applyFill="1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 applyAlignment="1">
      <alignment vertical="center"/>
    </xf>
  </cellXfs>
  <cellStyles count="2">
    <cellStyle name="Hyperlink" xfId="1" builtinId="8" customBuiltin="1"/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39756</xdr:colOff>
      <xdr:row>2</xdr:row>
      <xdr:rowOff>33130</xdr:rowOff>
    </xdr:from>
    <xdr:to>
      <xdr:col>8</xdr:col>
      <xdr:colOff>96906</xdr:colOff>
      <xdr:row>2</xdr:row>
      <xdr:rowOff>315816</xdr:rowOff>
    </xdr:to>
    <xdr:sp macro="[0]!DashBoardSelectFolder" textlink="">
      <xdr:nvSpPr>
        <xdr:cNvPr id="2" name="Rounded Rectangle 2">
          <a:extLst>
            <a:ext uri="{FF2B5EF4-FFF2-40B4-BE49-F238E27FC236}">
              <a16:creationId xmlns:a16="http://schemas.microsoft.com/office/drawing/2014/main" id="{0CB159E8-51B5-461A-85C8-2BF3CB288AB4}"/>
            </a:ext>
          </a:extLst>
        </xdr:cNvPr>
        <xdr:cNvSpPr/>
      </xdr:nvSpPr>
      <xdr:spPr>
        <a:xfrm>
          <a:off x="5565913" y="404191"/>
          <a:ext cx="1885950" cy="282686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folder</a:t>
          </a:r>
        </a:p>
      </xdr:txBody>
    </xdr:sp>
    <xdr:clientData/>
  </xdr:twoCellAnchor>
  <xdr:twoCellAnchor editAs="absolute">
    <xdr:from>
      <xdr:col>8</xdr:col>
      <xdr:colOff>496956</xdr:colOff>
      <xdr:row>0</xdr:row>
      <xdr:rowOff>126971</xdr:rowOff>
    </xdr:from>
    <xdr:to>
      <xdr:col>11</xdr:col>
      <xdr:colOff>554106</xdr:colOff>
      <xdr:row>2</xdr:row>
      <xdr:rowOff>35945</xdr:rowOff>
    </xdr:to>
    <xdr:sp macro="[0]!SheetFolderClearData" textlink="">
      <xdr:nvSpPr>
        <xdr:cNvPr id="3" name="Rounded Rectangle 3">
          <a:extLst>
            <a:ext uri="{FF2B5EF4-FFF2-40B4-BE49-F238E27FC236}">
              <a16:creationId xmlns:a16="http://schemas.microsoft.com/office/drawing/2014/main" id="{C1D1ECCC-C0D8-4A5E-979D-63399366493E}"/>
            </a:ext>
          </a:extLst>
        </xdr:cNvPr>
        <xdr:cNvSpPr/>
      </xdr:nvSpPr>
      <xdr:spPr>
        <a:xfrm>
          <a:off x="7851913" y="12697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Folders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259691</xdr:colOff>
      <xdr:row>0</xdr:row>
      <xdr:rowOff>112643</xdr:rowOff>
    </xdr:from>
    <xdr:to>
      <xdr:col>15</xdr:col>
      <xdr:colOff>316841</xdr:colOff>
      <xdr:row>2</xdr:row>
      <xdr:rowOff>66260</xdr:rowOff>
    </xdr:to>
    <xdr:sp macro="[0]!SheetFolderListFolders_Dir" textlink="">
      <xdr:nvSpPr>
        <xdr:cNvPr id="4" name="Rounded Rectangle 2">
          <a:extLst>
            <a:ext uri="{FF2B5EF4-FFF2-40B4-BE49-F238E27FC236}">
              <a16:creationId xmlns:a16="http://schemas.microsoft.com/office/drawing/2014/main" id="{AD0F1659-947A-66C4-1F44-084005262AD8}"/>
            </a:ext>
          </a:extLst>
        </xdr:cNvPr>
        <xdr:cNvSpPr/>
      </xdr:nvSpPr>
      <xdr:spPr>
        <a:xfrm>
          <a:off x="10053048" y="112643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Folders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483704</xdr:colOff>
      <xdr:row>2</xdr:row>
      <xdr:rowOff>299477</xdr:rowOff>
    </xdr:from>
    <xdr:to>
      <xdr:col>11</xdr:col>
      <xdr:colOff>540854</xdr:colOff>
      <xdr:row>3</xdr:row>
      <xdr:rowOff>32746</xdr:rowOff>
    </xdr:to>
    <xdr:sp macro="[0]!SheetFileClearData" textlink="">
      <xdr:nvSpPr>
        <xdr:cNvPr id="6" name="Rounded Rectangle 3">
          <a:extLst>
            <a:ext uri="{FF2B5EF4-FFF2-40B4-BE49-F238E27FC236}">
              <a16:creationId xmlns:a16="http://schemas.microsoft.com/office/drawing/2014/main" id="{D2E05A71-AC54-0E76-C780-019EAD88AD22}"/>
            </a:ext>
          </a:extLst>
        </xdr:cNvPr>
        <xdr:cNvSpPr/>
      </xdr:nvSpPr>
      <xdr:spPr>
        <a:xfrm>
          <a:off x="7838661" y="670538"/>
          <a:ext cx="1885950" cy="283234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Files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279569</xdr:colOff>
      <xdr:row>2</xdr:row>
      <xdr:rowOff>271670</xdr:rowOff>
    </xdr:from>
    <xdr:to>
      <xdr:col>15</xdr:col>
      <xdr:colOff>336719</xdr:colOff>
      <xdr:row>3</xdr:row>
      <xdr:rowOff>46383</xdr:rowOff>
    </xdr:to>
    <xdr:sp macro="[0]!SheetFileListFilesWithFilter" textlink="">
      <xdr:nvSpPr>
        <xdr:cNvPr id="7" name="Rounded Rectangle 2">
          <a:extLst>
            <a:ext uri="{FF2B5EF4-FFF2-40B4-BE49-F238E27FC236}">
              <a16:creationId xmlns:a16="http://schemas.microsoft.com/office/drawing/2014/main" id="{070E31F4-2A52-A739-28CA-BC1160B6DE42}"/>
            </a:ext>
          </a:extLst>
        </xdr:cNvPr>
        <xdr:cNvSpPr/>
      </xdr:nvSpPr>
      <xdr:spPr>
        <a:xfrm>
          <a:off x="10072926" y="642731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53011</xdr:colOff>
      <xdr:row>8</xdr:row>
      <xdr:rowOff>66262</xdr:rowOff>
    </xdr:from>
    <xdr:to>
      <xdr:col>8</xdr:col>
      <xdr:colOff>110161</xdr:colOff>
      <xdr:row>9</xdr:row>
      <xdr:rowOff>163416</xdr:rowOff>
    </xdr:to>
    <xdr:sp macro="[0]!PickFileToCell" textlink="">
      <xdr:nvSpPr>
        <xdr:cNvPr id="8" name="Rounded Rectangle 2">
          <a:extLst>
            <a:ext uri="{FF2B5EF4-FFF2-40B4-BE49-F238E27FC236}">
              <a16:creationId xmlns:a16="http://schemas.microsoft.com/office/drawing/2014/main" id="{0DA7441E-2813-6ECB-7EFB-5CCFE573049C}"/>
            </a:ext>
          </a:extLst>
        </xdr:cNvPr>
        <xdr:cNvSpPr/>
      </xdr:nvSpPr>
      <xdr:spPr>
        <a:xfrm>
          <a:off x="5579168" y="1914940"/>
          <a:ext cx="1885950" cy="282685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file</a:t>
          </a:r>
        </a:p>
      </xdr:txBody>
    </xdr:sp>
    <xdr:clientData/>
  </xdr:twoCellAnchor>
  <xdr:twoCellAnchor editAs="absolute">
    <xdr:from>
      <xdr:col>8</xdr:col>
      <xdr:colOff>457200</xdr:colOff>
      <xdr:row>6</xdr:row>
      <xdr:rowOff>133598</xdr:rowOff>
    </xdr:from>
    <xdr:to>
      <xdr:col>11</xdr:col>
      <xdr:colOff>514350</xdr:colOff>
      <xdr:row>8</xdr:row>
      <xdr:rowOff>42572</xdr:rowOff>
    </xdr:to>
    <xdr:sp macro="[0]!SheetRelativeIncludeClearData" textlink="">
      <xdr:nvSpPr>
        <xdr:cNvPr id="9" name="Rounded Rectangle 3">
          <a:extLst>
            <a:ext uri="{FF2B5EF4-FFF2-40B4-BE49-F238E27FC236}">
              <a16:creationId xmlns:a16="http://schemas.microsoft.com/office/drawing/2014/main" id="{07335ACF-96EC-E25F-61EA-7C9F358512F3}"/>
            </a:ext>
          </a:extLst>
        </xdr:cNvPr>
        <xdr:cNvSpPr/>
      </xdr:nvSpPr>
      <xdr:spPr>
        <a:xfrm>
          <a:off x="7812157" y="1611215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RelativeInclude</a:t>
          </a:r>
        </a:p>
      </xdr:txBody>
    </xdr:sp>
    <xdr:clientData/>
  </xdr:twoCellAnchor>
  <xdr:twoCellAnchor editAs="absolute">
    <xdr:from>
      <xdr:col>12</xdr:col>
      <xdr:colOff>272943</xdr:colOff>
      <xdr:row>6</xdr:row>
      <xdr:rowOff>106018</xdr:rowOff>
    </xdr:from>
    <xdr:to>
      <xdr:col>15</xdr:col>
      <xdr:colOff>330093</xdr:colOff>
      <xdr:row>8</xdr:row>
      <xdr:rowOff>59635</xdr:rowOff>
    </xdr:to>
    <xdr:sp macro="[0]!SheetRelativeIncludeGenerateRelativeInclude" textlink="">
      <xdr:nvSpPr>
        <xdr:cNvPr id="10" name="Rounded Rectangle 2">
          <a:extLst>
            <a:ext uri="{FF2B5EF4-FFF2-40B4-BE49-F238E27FC236}">
              <a16:creationId xmlns:a16="http://schemas.microsoft.com/office/drawing/2014/main" id="{8D3EADFB-60C4-6B65-C090-B3C60600CD62}"/>
            </a:ext>
          </a:extLst>
        </xdr:cNvPr>
        <xdr:cNvSpPr/>
      </xdr:nvSpPr>
      <xdr:spPr>
        <a:xfrm>
          <a:off x="10066300" y="158363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RelativeInclude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271670</xdr:colOff>
      <xdr:row>4</xdr:row>
      <xdr:rowOff>20954</xdr:rowOff>
    </xdr:from>
    <xdr:to>
      <xdr:col>15</xdr:col>
      <xdr:colOff>328820</xdr:colOff>
      <xdr:row>5</xdr:row>
      <xdr:rowOff>115459</xdr:rowOff>
    </xdr:to>
    <xdr:sp macro="[0]!SheetDeleteDeleteFilesWithOrderedLog" textlink="">
      <xdr:nvSpPr>
        <xdr:cNvPr id="11" name="Rounded Rectangle 3">
          <a:extLst>
            <a:ext uri="{FF2B5EF4-FFF2-40B4-BE49-F238E27FC236}">
              <a16:creationId xmlns:a16="http://schemas.microsoft.com/office/drawing/2014/main" id="{B9D1B599-1144-96DC-65A6-C6604B556378}"/>
            </a:ext>
          </a:extLst>
        </xdr:cNvPr>
        <xdr:cNvSpPr/>
      </xdr:nvSpPr>
      <xdr:spPr>
        <a:xfrm>
          <a:off x="10065027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Exclude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470451</xdr:colOff>
      <xdr:row>9</xdr:row>
      <xdr:rowOff>206484</xdr:rowOff>
    </xdr:from>
    <xdr:to>
      <xdr:col>11</xdr:col>
      <xdr:colOff>527601</xdr:colOff>
      <xdr:row>9</xdr:row>
      <xdr:rowOff>486519</xdr:rowOff>
    </xdr:to>
    <xdr:sp macro="[0]!SheetClassClearData" textlink="">
      <xdr:nvSpPr>
        <xdr:cNvPr id="5" name="Rounded Rectangle 3">
          <a:extLst>
            <a:ext uri="{FF2B5EF4-FFF2-40B4-BE49-F238E27FC236}">
              <a16:creationId xmlns:a16="http://schemas.microsoft.com/office/drawing/2014/main" id="{CCF15758-2D7E-B0E1-9C44-92DD357F1B63}"/>
            </a:ext>
          </a:extLst>
        </xdr:cNvPr>
        <xdr:cNvSpPr/>
      </xdr:nvSpPr>
      <xdr:spPr>
        <a:xfrm>
          <a:off x="7825408" y="2240693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Clear</a:t>
          </a:r>
          <a:r>
            <a:rPr lang="en-US" sz="1800" b="0" baseline="0">
              <a:solidFill>
                <a:schemeClr val="tx1"/>
              </a:solidFill>
            </a:rPr>
            <a:t> Class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299447</xdr:colOff>
      <xdr:row>9</xdr:row>
      <xdr:rowOff>192156</xdr:rowOff>
    </xdr:from>
    <xdr:to>
      <xdr:col>15</xdr:col>
      <xdr:colOff>356597</xdr:colOff>
      <xdr:row>9</xdr:row>
      <xdr:rowOff>516834</xdr:rowOff>
    </xdr:to>
    <xdr:sp macro="[0]!SheetClassScanClass" textlink="">
      <xdr:nvSpPr>
        <xdr:cNvPr id="12" name="Rounded Rectangle 2">
          <a:extLst>
            <a:ext uri="{FF2B5EF4-FFF2-40B4-BE49-F238E27FC236}">
              <a16:creationId xmlns:a16="http://schemas.microsoft.com/office/drawing/2014/main" id="{C9DB7945-FC31-17ED-B344-47905D1CE4FA}"/>
            </a:ext>
          </a:extLst>
        </xdr:cNvPr>
        <xdr:cNvSpPr/>
      </xdr:nvSpPr>
      <xdr:spPr>
        <a:xfrm>
          <a:off x="10092804" y="222636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Scan Classes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483705</xdr:colOff>
      <xdr:row>4</xdr:row>
      <xdr:rowOff>20954</xdr:rowOff>
    </xdr:from>
    <xdr:to>
      <xdr:col>11</xdr:col>
      <xdr:colOff>540855</xdr:colOff>
      <xdr:row>5</xdr:row>
      <xdr:rowOff>115459</xdr:rowOff>
    </xdr:to>
    <xdr:sp macro="[0]!SheetDeleteClearData" textlink="">
      <xdr:nvSpPr>
        <xdr:cNvPr id="13" name="Rounded Rectangle 3">
          <a:extLst>
            <a:ext uri="{FF2B5EF4-FFF2-40B4-BE49-F238E27FC236}">
              <a16:creationId xmlns:a16="http://schemas.microsoft.com/office/drawing/2014/main" id="{93B9613C-022B-3295-38D3-4F93CB086A29}"/>
            </a:ext>
          </a:extLst>
        </xdr:cNvPr>
        <xdr:cNvSpPr/>
      </xdr:nvSpPr>
      <xdr:spPr>
        <a:xfrm>
          <a:off x="7838662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Delete Sheets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1.%20Banks\2025%20Bank%20New.xlsm" TargetMode="External"/><Relationship Id="rId1" Type="http://schemas.openxmlformats.org/officeDocument/2006/relationships/externalLinkPath" Target="file:///G:\My%20Drive\1.%20Banks\2025%20Bank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hart"/>
      <sheetName val="TN Report"/>
      <sheetName val="OutPutReport"/>
      <sheetName val="SlogsMonthly"/>
      <sheetName val="SLogs"/>
      <sheetName val="BLogs"/>
      <sheetName val="Vay mượn"/>
      <sheetName val="Thuế"/>
      <sheetName val="Unique"/>
      <sheetName val="TN"/>
      <sheetName val="GLogs"/>
      <sheetName val="Gold"/>
      <sheetName val="Compare"/>
      <sheetName val="USDvsVND"/>
      <sheetName val="Dxy"/>
      <sheetName val="Kitco"/>
      <sheetName val="Works"/>
      <sheetName val="Thấu chi"/>
      <sheetName val="Card"/>
      <sheetName val="Medicine"/>
      <sheetName val="Medicine No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">
          <cell r="A1" t="str">
            <v>Date</v>
          </cell>
        </row>
        <row r="3">
          <cell r="A3">
            <v>45695</v>
          </cell>
        </row>
        <row r="4">
          <cell r="A4">
            <v>45715</v>
          </cell>
        </row>
        <row r="5">
          <cell r="A5">
            <v>45724</v>
          </cell>
        </row>
        <row r="6">
          <cell r="A6">
            <v>45761</v>
          </cell>
        </row>
        <row r="7">
          <cell r="A7">
            <v>45761</v>
          </cell>
        </row>
        <row r="8">
          <cell r="A8">
            <v>45762</v>
          </cell>
        </row>
        <row r="9">
          <cell r="A9">
            <v>45762</v>
          </cell>
        </row>
        <row r="10">
          <cell r="A10">
            <v>45763</v>
          </cell>
        </row>
        <row r="11">
          <cell r="A11">
            <v>45763</v>
          </cell>
        </row>
        <row r="12">
          <cell r="A12">
            <v>45765</v>
          </cell>
        </row>
        <row r="13">
          <cell r="A13">
            <v>45765</v>
          </cell>
        </row>
        <row r="14">
          <cell r="A14">
            <v>45765</v>
          </cell>
        </row>
        <row r="15">
          <cell r="A15">
            <v>45766</v>
          </cell>
        </row>
        <row r="16">
          <cell r="A16">
            <v>45766</v>
          </cell>
        </row>
        <row r="17">
          <cell r="A17">
            <v>45766</v>
          </cell>
        </row>
        <row r="18">
          <cell r="A18">
            <v>45766</v>
          </cell>
        </row>
        <row r="19">
          <cell r="A19">
            <v>45766</v>
          </cell>
        </row>
        <row r="20">
          <cell r="A20">
            <v>45766</v>
          </cell>
        </row>
        <row r="21">
          <cell r="A21">
            <v>45767</v>
          </cell>
        </row>
        <row r="22">
          <cell r="A22">
            <v>45767</v>
          </cell>
        </row>
        <row r="23">
          <cell r="A23">
            <v>45767</v>
          </cell>
        </row>
        <row r="24">
          <cell r="A24">
            <v>45768</v>
          </cell>
        </row>
        <row r="25">
          <cell r="A25">
            <v>45768</v>
          </cell>
        </row>
        <row r="26">
          <cell r="A26">
            <v>45769</v>
          </cell>
        </row>
        <row r="27">
          <cell r="A27">
            <v>45769</v>
          </cell>
        </row>
        <row r="28">
          <cell r="A28">
            <v>45769</v>
          </cell>
        </row>
        <row r="29">
          <cell r="A29">
            <v>45769</v>
          </cell>
        </row>
        <row r="30">
          <cell r="A30">
            <v>45769</v>
          </cell>
        </row>
        <row r="31">
          <cell r="A31">
            <v>45770</v>
          </cell>
        </row>
        <row r="32">
          <cell r="A32">
            <v>45770</v>
          </cell>
        </row>
        <row r="33">
          <cell r="A33">
            <v>45770</v>
          </cell>
        </row>
        <row r="34">
          <cell r="A34">
            <v>45770</v>
          </cell>
        </row>
        <row r="35">
          <cell r="A35">
            <v>45770</v>
          </cell>
        </row>
        <row r="36">
          <cell r="A36">
            <v>45770</v>
          </cell>
        </row>
        <row r="37">
          <cell r="A37">
            <v>45770</v>
          </cell>
        </row>
        <row r="38">
          <cell r="A38">
            <v>45771</v>
          </cell>
        </row>
        <row r="39">
          <cell r="A39">
            <v>45771</v>
          </cell>
        </row>
        <row r="40">
          <cell r="A40">
            <v>45772</v>
          </cell>
        </row>
        <row r="41">
          <cell r="A41">
            <v>45772</v>
          </cell>
        </row>
        <row r="42">
          <cell r="A42">
            <v>45772</v>
          </cell>
        </row>
        <row r="43">
          <cell r="A43">
            <v>45772</v>
          </cell>
        </row>
        <row r="44">
          <cell r="A44">
            <v>45773</v>
          </cell>
        </row>
        <row r="45">
          <cell r="A45">
            <v>45773</v>
          </cell>
        </row>
        <row r="46">
          <cell r="A46">
            <v>45773</v>
          </cell>
        </row>
        <row r="47">
          <cell r="A47">
            <v>45773</v>
          </cell>
        </row>
        <row r="48">
          <cell r="A48">
            <v>45774</v>
          </cell>
        </row>
        <row r="49">
          <cell r="A49">
            <v>45774</v>
          </cell>
        </row>
        <row r="50">
          <cell r="A50">
            <v>45775</v>
          </cell>
        </row>
        <row r="51">
          <cell r="A51">
            <v>45775</v>
          </cell>
        </row>
        <row r="52">
          <cell r="A52">
            <v>45775</v>
          </cell>
        </row>
        <row r="53">
          <cell r="A53">
            <v>45775</v>
          </cell>
        </row>
        <row r="54">
          <cell r="A54">
            <v>45776</v>
          </cell>
        </row>
        <row r="55">
          <cell r="A55">
            <v>45776</v>
          </cell>
        </row>
        <row r="56">
          <cell r="A56">
            <v>45776</v>
          </cell>
        </row>
        <row r="57">
          <cell r="A57">
            <v>45776</v>
          </cell>
        </row>
        <row r="58">
          <cell r="A58">
            <v>45778</v>
          </cell>
        </row>
        <row r="59">
          <cell r="A59">
            <v>45778</v>
          </cell>
        </row>
        <row r="60">
          <cell r="A60">
            <v>45778</v>
          </cell>
        </row>
        <row r="61">
          <cell r="A61">
            <v>45779</v>
          </cell>
        </row>
        <row r="62">
          <cell r="A62">
            <v>45779</v>
          </cell>
        </row>
        <row r="63">
          <cell r="A63">
            <v>45781</v>
          </cell>
        </row>
        <row r="64">
          <cell r="A64">
            <v>45781</v>
          </cell>
        </row>
        <row r="65">
          <cell r="A65">
            <v>45782</v>
          </cell>
        </row>
        <row r="66">
          <cell r="A66">
            <v>45782</v>
          </cell>
        </row>
        <row r="67">
          <cell r="A67">
            <v>45782</v>
          </cell>
        </row>
        <row r="68">
          <cell r="A68">
            <v>45782</v>
          </cell>
        </row>
        <row r="69">
          <cell r="A69">
            <v>45782</v>
          </cell>
        </row>
        <row r="70">
          <cell r="A70">
            <v>45782</v>
          </cell>
        </row>
        <row r="71">
          <cell r="A71">
            <v>45783</v>
          </cell>
        </row>
        <row r="72">
          <cell r="A72">
            <v>45783</v>
          </cell>
        </row>
        <row r="73">
          <cell r="A73">
            <v>45783</v>
          </cell>
        </row>
        <row r="74">
          <cell r="A74">
            <v>45783</v>
          </cell>
        </row>
        <row r="75">
          <cell r="A75">
            <v>45784</v>
          </cell>
        </row>
        <row r="76">
          <cell r="A76">
            <v>45784</v>
          </cell>
        </row>
        <row r="77">
          <cell r="A77">
            <v>45785</v>
          </cell>
        </row>
        <row r="78">
          <cell r="A78">
            <v>45785</v>
          </cell>
        </row>
        <row r="79">
          <cell r="A79">
            <v>45785</v>
          </cell>
        </row>
        <row r="80">
          <cell r="A80">
            <v>45785</v>
          </cell>
        </row>
        <row r="81">
          <cell r="A81">
            <v>45785</v>
          </cell>
        </row>
        <row r="82">
          <cell r="A82">
            <v>45786</v>
          </cell>
        </row>
        <row r="83">
          <cell r="A83">
            <v>45786</v>
          </cell>
        </row>
        <row r="84">
          <cell r="A84">
            <v>45787</v>
          </cell>
        </row>
        <row r="85">
          <cell r="A85">
            <v>45787</v>
          </cell>
        </row>
        <row r="86">
          <cell r="A86">
            <v>45788</v>
          </cell>
        </row>
        <row r="87">
          <cell r="A87">
            <v>45788</v>
          </cell>
        </row>
        <row r="88">
          <cell r="A88">
            <v>45789</v>
          </cell>
        </row>
        <row r="89">
          <cell r="A89">
            <v>45789</v>
          </cell>
        </row>
        <row r="90">
          <cell r="A90">
            <v>45789</v>
          </cell>
        </row>
        <row r="91">
          <cell r="A91">
            <v>45790</v>
          </cell>
        </row>
        <row r="92">
          <cell r="A92">
            <v>45790</v>
          </cell>
        </row>
        <row r="93">
          <cell r="A93">
            <v>45790</v>
          </cell>
        </row>
        <row r="94">
          <cell r="A94">
            <v>45790</v>
          </cell>
        </row>
        <row r="95">
          <cell r="A95">
            <v>45791</v>
          </cell>
        </row>
        <row r="96">
          <cell r="A96">
            <v>45791</v>
          </cell>
        </row>
        <row r="97">
          <cell r="A97">
            <v>45791</v>
          </cell>
        </row>
        <row r="98">
          <cell r="A98">
            <v>45792</v>
          </cell>
        </row>
        <row r="99">
          <cell r="A99">
            <v>45792</v>
          </cell>
        </row>
        <row r="100">
          <cell r="A100">
            <v>45792</v>
          </cell>
        </row>
        <row r="101">
          <cell r="A101">
            <v>45792</v>
          </cell>
        </row>
        <row r="102">
          <cell r="A102">
            <v>45792</v>
          </cell>
        </row>
        <row r="103">
          <cell r="A103">
            <v>45792</v>
          </cell>
        </row>
        <row r="104">
          <cell r="A104">
            <v>45792</v>
          </cell>
        </row>
        <row r="105">
          <cell r="A105">
            <v>45792</v>
          </cell>
        </row>
        <row r="106">
          <cell r="A106">
            <v>45793</v>
          </cell>
        </row>
        <row r="107">
          <cell r="A107">
            <v>45793</v>
          </cell>
        </row>
        <row r="108">
          <cell r="A108">
            <v>45794</v>
          </cell>
        </row>
        <row r="109">
          <cell r="A109">
            <v>45794</v>
          </cell>
        </row>
        <row r="110">
          <cell r="A110">
            <v>45795</v>
          </cell>
        </row>
        <row r="111">
          <cell r="A111">
            <v>45795</v>
          </cell>
        </row>
        <row r="112">
          <cell r="A112">
            <v>45796</v>
          </cell>
        </row>
        <row r="113">
          <cell r="A113">
            <v>45796</v>
          </cell>
        </row>
        <row r="114">
          <cell r="A114">
            <v>45796</v>
          </cell>
        </row>
        <row r="115">
          <cell r="A115">
            <v>45796</v>
          </cell>
        </row>
        <row r="116">
          <cell r="A116">
            <v>45796</v>
          </cell>
        </row>
        <row r="117">
          <cell r="A117">
            <v>45796</v>
          </cell>
        </row>
        <row r="118">
          <cell r="A118">
            <v>45797</v>
          </cell>
        </row>
        <row r="119">
          <cell r="A119">
            <v>45797</v>
          </cell>
        </row>
        <row r="120">
          <cell r="A120">
            <v>45797</v>
          </cell>
        </row>
        <row r="121">
          <cell r="A121">
            <v>45797</v>
          </cell>
        </row>
        <row r="122">
          <cell r="A122">
            <v>45798</v>
          </cell>
        </row>
        <row r="123">
          <cell r="A123">
            <v>45798</v>
          </cell>
        </row>
        <row r="124">
          <cell r="A124">
            <v>45798</v>
          </cell>
        </row>
        <row r="125">
          <cell r="A125">
            <v>45799</v>
          </cell>
        </row>
        <row r="126">
          <cell r="A126">
            <v>45799</v>
          </cell>
        </row>
        <row r="127">
          <cell r="A127">
            <v>45799</v>
          </cell>
        </row>
        <row r="128">
          <cell r="A128">
            <v>45800</v>
          </cell>
        </row>
        <row r="129">
          <cell r="A129">
            <v>45800</v>
          </cell>
        </row>
        <row r="130">
          <cell r="A130">
            <v>45801</v>
          </cell>
        </row>
        <row r="131">
          <cell r="A131">
            <v>45801</v>
          </cell>
        </row>
        <row r="132">
          <cell r="A132">
            <v>45801</v>
          </cell>
        </row>
        <row r="133">
          <cell r="A133">
            <v>45802</v>
          </cell>
        </row>
        <row r="134">
          <cell r="A134">
            <v>45802</v>
          </cell>
        </row>
        <row r="135">
          <cell r="A135">
            <v>45803</v>
          </cell>
        </row>
        <row r="136">
          <cell r="A136">
            <v>45803</v>
          </cell>
        </row>
        <row r="137">
          <cell r="A137">
            <v>45803</v>
          </cell>
        </row>
        <row r="138">
          <cell r="A138">
            <v>45803</v>
          </cell>
        </row>
        <row r="139">
          <cell r="A139">
            <v>45804</v>
          </cell>
        </row>
        <row r="140">
          <cell r="A140">
            <v>45804</v>
          </cell>
        </row>
        <row r="141">
          <cell r="A141">
            <v>45804</v>
          </cell>
        </row>
        <row r="142">
          <cell r="A142">
            <v>45805</v>
          </cell>
        </row>
        <row r="143">
          <cell r="A143">
            <v>45805</v>
          </cell>
        </row>
        <row r="144">
          <cell r="A144">
            <v>45805</v>
          </cell>
        </row>
        <row r="145">
          <cell r="A145">
            <v>45806</v>
          </cell>
        </row>
        <row r="146">
          <cell r="A146">
            <v>45806</v>
          </cell>
        </row>
        <row r="147">
          <cell r="A147">
            <v>45806</v>
          </cell>
        </row>
        <row r="148">
          <cell r="A148">
            <v>45806</v>
          </cell>
        </row>
        <row r="149">
          <cell r="A149">
            <v>45806</v>
          </cell>
        </row>
        <row r="150">
          <cell r="A150">
            <v>45806</v>
          </cell>
        </row>
        <row r="151">
          <cell r="A151">
            <v>45806</v>
          </cell>
        </row>
        <row r="152">
          <cell r="A152">
            <v>45807</v>
          </cell>
        </row>
        <row r="153">
          <cell r="A153">
            <v>45807</v>
          </cell>
        </row>
        <row r="154">
          <cell r="A154">
            <v>45807</v>
          </cell>
        </row>
        <row r="155">
          <cell r="A155">
            <v>45807</v>
          </cell>
        </row>
        <row r="156">
          <cell r="A156">
            <v>45807</v>
          </cell>
        </row>
        <row r="157">
          <cell r="A157">
            <v>45808</v>
          </cell>
        </row>
        <row r="158">
          <cell r="A158">
            <v>45808</v>
          </cell>
        </row>
        <row r="159">
          <cell r="A159">
            <v>45808</v>
          </cell>
        </row>
        <row r="160">
          <cell r="A160">
            <v>45663</v>
          </cell>
        </row>
        <row r="161">
          <cell r="A161">
            <v>45663</v>
          </cell>
        </row>
        <row r="162">
          <cell r="A162">
            <v>45694</v>
          </cell>
        </row>
        <row r="163">
          <cell r="A163">
            <v>45694</v>
          </cell>
        </row>
        <row r="164">
          <cell r="A164">
            <v>45694</v>
          </cell>
        </row>
        <row r="165">
          <cell r="A165">
            <v>45694</v>
          </cell>
        </row>
        <row r="166">
          <cell r="A166">
            <v>45722</v>
          </cell>
        </row>
        <row r="167">
          <cell r="A167">
            <v>45722</v>
          </cell>
        </row>
        <row r="168">
          <cell r="A168">
            <v>45722</v>
          </cell>
        </row>
        <row r="169">
          <cell r="A169">
            <v>45722</v>
          </cell>
        </row>
        <row r="170">
          <cell r="A170">
            <v>45753</v>
          </cell>
        </row>
        <row r="171">
          <cell r="A171">
            <v>45753</v>
          </cell>
        </row>
        <row r="172">
          <cell r="A172">
            <v>45783</v>
          </cell>
        </row>
        <row r="173">
          <cell r="A173">
            <v>45783</v>
          </cell>
        </row>
        <row r="174">
          <cell r="A174">
            <v>45783</v>
          </cell>
        </row>
        <row r="175">
          <cell r="A175">
            <v>45814</v>
          </cell>
        </row>
        <row r="176">
          <cell r="A176">
            <v>45814</v>
          </cell>
        </row>
        <row r="177">
          <cell r="A177">
            <v>45814</v>
          </cell>
        </row>
        <row r="178">
          <cell r="A178">
            <v>45844</v>
          </cell>
        </row>
        <row r="179">
          <cell r="A179">
            <v>45844</v>
          </cell>
        </row>
        <row r="180">
          <cell r="A180">
            <v>45844</v>
          </cell>
        </row>
        <row r="181">
          <cell r="A181">
            <v>45875</v>
          </cell>
        </row>
        <row r="182">
          <cell r="A182">
            <v>45875</v>
          </cell>
        </row>
        <row r="183">
          <cell r="A183">
            <v>45906</v>
          </cell>
        </row>
        <row r="184">
          <cell r="A184">
            <v>45906</v>
          </cell>
        </row>
        <row r="185">
          <cell r="A185">
            <v>45906</v>
          </cell>
        </row>
        <row r="186">
          <cell r="A186">
            <v>45936</v>
          </cell>
        </row>
        <row r="187">
          <cell r="A187">
            <v>45936</v>
          </cell>
        </row>
        <row r="188">
          <cell r="A188">
            <v>45936</v>
          </cell>
        </row>
        <row r="189">
          <cell r="A189">
            <v>45936</v>
          </cell>
        </row>
        <row r="190">
          <cell r="A190">
            <v>45936</v>
          </cell>
        </row>
        <row r="191">
          <cell r="A191">
            <v>45967</v>
          </cell>
        </row>
        <row r="192">
          <cell r="A192">
            <v>45967</v>
          </cell>
        </row>
        <row r="193">
          <cell r="A193">
            <v>45967</v>
          </cell>
        </row>
        <row r="194">
          <cell r="A194">
            <v>45967</v>
          </cell>
        </row>
        <row r="195">
          <cell r="A195">
            <v>45997</v>
          </cell>
        </row>
        <row r="196">
          <cell r="A196">
            <v>45997</v>
          </cell>
        </row>
        <row r="197">
          <cell r="A197">
            <v>45997</v>
          </cell>
        </row>
        <row r="198">
          <cell r="A198">
            <v>45997</v>
          </cell>
        </row>
        <row r="199">
          <cell r="A199">
            <v>45821</v>
          </cell>
        </row>
        <row r="200">
          <cell r="A200">
            <v>45821</v>
          </cell>
        </row>
        <row r="201">
          <cell r="A201">
            <v>45821</v>
          </cell>
        </row>
        <row r="202">
          <cell r="A202">
            <v>45822</v>
          </cell>
        </row>
        <row r="203">
          <cell r="A203">
            <v>45822</v>
          </cell>
        </row>
        <row r="204">
          <cell r="A204">
            <v>45823</v>
          </cell>
        </row>
        <row r="205">
          <cell r="A205">
            <v>45823</v>
          </cell>
        </row>
        <row r="206">
          <cell r="A206">
            <v>45824</v>
          </cell>
        </row>
        <row r="207">
          <cell r="A207">
            <v>45824</v>
          </cell>
        </row>
        <row r="208">
          <cell r="A208">
            <v>45825</v>
          </cell>
        </row>
        <row r="209">
          <cell r="A209">
            <v>45825</v>
          </cell>
        </row>
        <row r="210">
          <cell r="A210">
            <v>45825</v>
          </cell>
        </row>
        <row r="211">
          <cell r="A211">
            <v>45825</v>
          </cell>
        </row>
        <row r="212">
          <cell r="A212">
            <v>45825</v>
          </cell>
        </row>
        <row r="213">
          <cell r="A213">
            <v>45825</v>
          </cell>
        </row>
        <row r="214">
          <cell r="A214">
            <v>45825</v>
          </cell>
        </row>
        <row r="215">
          <cell r="A215">
            <v>45825</v>
          </cell>
        </row>
        <row r="216">
          <cell r="A216">
            <v>45826</v>
          </cell>
        </row>
        <row r="217">
          <cell r="A217">
            <v>45826</v>
          </cell>
        </row>
        <row r="218">
          <cell r="A218">
            <v>45827</v>
          </cell>
        </row>
        <row r="219">
          <cell r="A219">
            <v>45827</v>
          </cell>
        </row>
        <row r="220">
          <cell r="A220">
            <v>45827</v>
          </cell>
        </row>
        <row r="221">
          <cell r="A221">
            <v>45828</v>
          </cell>
        </row>
        <row r="222">
          <cell r="A222">
            <v>45828</v>
          </cell>
        </row>
        <row r="223">
          <cell r="A223">
            <v>45828</v>
          </cell>
        </row>
        <row r="224">
          <cell r="A224">
            <v>45828</v>
          </cell>
        </row>
        <row r="225">
          <cell r="A225">
            <v>45829</v>
          </cell>
        </row>
        <row r="226">
          <cell r="A226">
            <v>45829</v>
          </cell>
        </row>
        <row r="227">
          <cell r="A227">
            <v>45830</v>
          </cell>
        </row>
        <row r="228">
          <cell r="A228">
            <v>45830</v>
          </cell>
        </row>
        <row r="229">
          <cell r="A229">
            <v>45831</v>
          </cell>
        </row>
        <row r="230">
          <cell r="A230">
            <v>45831</v>
          </cell>
        </row>
        <row r="231">
          <cell r="A231">
            <v>45832</v>
          </cell>
        </row>
        <row r="232">
          <cell r="A232">
            <v>45832</v>
          </cell>
        </row>
        <row r="233">
          <cell r="A233">
            <v>45832</v>
          </cell>
        </row>
        <row r="234">
          <cell r="A234">
            <v>45833</v>
          </cell>
        </row>
        <row r="235">
          <cell r="A235">
            <v>45833</v>
          </cell>
        </row>
        <row r="236">
          <cell r="A236">
            <v>45834</v>
          </cell>
        </row>
        <row r="237">
          <cell r="A237">
            <v>45834</v>
          </cell>
        </row>
        <row r="238">
          <cell r="A238">
            <v>45835</v>
          </cell>
        </row>
        <row r="239">
          <cell r="A239">
            <v>45835</v>
          </cell>
        </row>
        <row r="240">
          <cell r="A240">
            <v>45835</v>
          </cell>
        </row>
        <row r="241">
          <cell r="A241">
            <v>45836</v>
          </cell>
        </row>
        <row r="242">
          <cell r="A242">
            <v>45836</v>
          </cell>
        </row>
        <row r="243">
          <cell r="A243">
            <v>45836</v>
          </cell>
        </row>
        <row r="244">
          <cell r="A244">
            <v>45837</v>
          </cell>
        </row>
        <row r="245">
          <cell r="A245">
            <v>45837</v>
          </cell>
        </row>
        <row r="246">
          <cell r="A246">
            <v>45838</v>
          </cell>
        </row>
        <row r="247">
          <cell r="A247">
            <v>45838</v>
          </cell>
        </row>
        <row r="248">
          <cell r="A248">
            <v>45838</v>
          </cell>
        </row>
        <row r="249">
          <cell r="A249">
            <v>45838</v>
          </cell>
        </row>
        <row r="250">
          <cell r="A250">
            <v>45839</v>
          </cell>
        </row>
        <row r="251">
          <cell r="A251">
            <v>45839</v>
          </cell>
        </row>
        <row r="252">
          <cell r="A252">
            <v>45839</v>
          </cell>
        </row>
        <row r="253">
          <cell r="A253">
            <v>45839</v>
          </cell>
        </row>
        <row r="254">
          <cell r="A254">
            <v>45840</v>
          </cell>
        </row>
        <row r="255">
          <cell r="A255">
            <v>45840</v>
          </cell>
        </row>
        <row r="256">
          <cell r="A256">
            <v>45841</v>
          </cell>
        </row>
        <row r="257">
          <cell r="A257">
            <v>45841</v>
          </cell>
        </row>
        <row r="258">
          <cell r="A258">
            <v>45841</v>
          </cell>
        </row>
        <row r="259">
          <cell r="A259">
            <v>45841</v>
          </cell>
        </row>
        <row r="260">
          <cell r="A260">
            <v>45842</v>
          </cell>
        </row>
        <row r="261">
          <cell r="A261">
            <v>45842</v>
          </cell>
        </row>
        <row r="262">
          <cell r="A262">
            <v>45842</v>
          </cell>
        </row>
        <row r="263">
          <cell r="A263">
            <v>45843</v>
          </cell>
        </row>
        <row r="264">
          <cell r="A264">
            <v>45843</v>
          </cell>
        </row>
        <row r="265">
          <cell r="A265">
            <v>45844</v>
          </cell>
        </row>
        <row r="266">
          <cell r="A266">
            <v>45844</v>
          </cell>
        </row>
        <row r="267">
          <cell r="A267">
            <v>45844</v>
          </cell>
        </row>
        <row r="268">
          <cell r="A268">
            <v>45844</v>
          </cell>
        </row>
        <row r="269">
          <cell r="A269">
            <v>45845</v>
          </cell>
        </row>
        <row r="270">
          <cell r="A270">
            <v>45845</v>
          </cell>
        </row>
        <row r="271">
          <cell r="A271">
            <v>45846</v>
          </cell>
        </row>
        <row r="272">
          <cell r="A272">
            <v>45846</v>
          </cell>
        </row>
        <row r="273">
          <cell r="A273">
            <v>45847</v>
          </cell>
        </row>
        <row r="274">
          <cell r="A274">
            <v>45847</v>
          </cell>
        </row>
        <row r="275">
          <cell r="A275">
            <v>45847</v>
          </cell>
        </row>
        <row r="276">
          <cell r="A276">
            <v>45848</v>
          </cell>
        </row>
        <row r="277">
          <cell r="A277">
            <v>45848</v>
          </cell>
        </row>
        <row r="278">
          <cell r="A278">
            <v>45848</v>
          </cell>
        </row>
        <row r="279">
          <cell r="A279">
            <v>45849</v>
          </cell>
        </row>
        <row r="280">
          <cell r="A280">
            <v>45849</v>
          </cell>
        </row>
        <row r="281">
          <cell r="A281">
            <v>45849</v>
          </cell>
        </row>
        <row r="282">
          <cell r="A282">
            <v>45850</v>
          </cell>
        </row>
        <row r="283">
          <cell r="A283">
            <v>45850</v>
          </cell>
        </row>
        <row r="284">
          <cell r="A284">
            <v>45851</v>
          </cell>
        </row>
        <row r="285">
          <cell r="A285">
            <v>45851</v>
          </cell>
        </row>
        <row r="286">
          <cell r="A286">
            <v>45852</v>
          </cell>
        </row>
        <row r="287">
          <cell r="A287">
            <v>45852</v>
          </cell>
        </row>
        <row r="288">
          <cell r="A288">
            <v>45853</v>
          </cell>
        </row>
        <row r="289">
          <cell r="A289">
            <v>45853</v>
          </cell>
        </row>
        <row r="290">
          <cell r="A290">
            <v>45853</v>
          </cell>
        </row>
        <row r="291">
          <cell r="A291">
            <v>45854</v>
          </cell>
        </row>
        <row r="292">
          <cell r="A292">
            <v>45854</v>
          </cell>
        </row>
        <row r="293">
          <cell r="A293">
            <v>45855</v>
          </cell>
        </row>
        <row r="294">
          <cell r="A294">
            <v>45855</v>
          </cell>
        </row>
        <row r="295">
          <cell r="A295">
            <v>45855</v>
          </cell>
        </row>
        <row r="296">
          <cell r="A296">
            <v>45855</v>
          </cell>
        </row>
        <row r="297">
          <cell r="A297">
            <v>45856</v>
          </cell>
        </row>
        <row r="298">
          <cell r="A298">
            <v>45856</v>
          </cell>
        </row>
        <row r="299">
          <cell r="A299">
            <v>45857</v>
          </cell>
        </row>
        <row r="300">
          <cell r="A300">
            <v>45857</v>
          </cell>
        </row>
        <row r="301">
          <cell r="A301">
            <v>45858</v>
          </cell>
        </row>
        <row r="302">
          <cell r="A302">
            <v>45858</v>
          </cell>
        </row>
        <row r="303">
          <cell r="A303">
            <v>45859</v>
          </cell>
        </row>
        <row r="304">
          <cell r="A304">
            <v>45859</v>
          </cell>
        </row>
        <row r="305">
          <cell r="A305">
            <v>45860</v>
          </cell>
        </row>
        <row r="306">
          <cell r="A306">
            <v>45860</v>
          </cell>
        </row>
        <row r="307">
          <cell r="A307">
            <v>45860</v>
          </cell>
        </row>
        <row r="308">
          <cell r="A308">
            <v>45861</v>
          </cell>
        </row>
        <row r="309">
          <cell r="A309">
            <v>45861</v>
          </cell>
        </row>
        <row r="310">
          <cell r="A310">
            <v>45861</v>
          </cell>
        </row>
        <row r="311">
          <cell r="A311">
            <v>45862</v>
          </cell>
        </row>
        <row r="312">
          <cell r="A312">
            <v>45862</v>
          </cell>
        </row>
        <row r="313">
          <cell r="A313">
            <v>45863</v>
          </cell>
        </row>
        <row r="314">
          <cell r="A314">
            <v>45863</v>
          </cell>
        </row>
        <row r="315">
          <cell r="A315">
            <v>45863</v>
          </cell>
        </row>
        <row r="316">
          <cell r="A316">
            <v>45864</v>
          </cell>
        </row>
        <row r="317">
          <cell r="A317">
            <v>45864</v>
          </cell>
        </row>
        <row r="318">
          <cell r="A318">
            <v>45865</v>
          </cell>
        </row>
        <row r="319">
          <cell r="A319">
            <v>45865</v>
          </cell>
        </row>
        <row r="320">
          <cell r="A320">
            <v>45866</v>
          </cell>
        </row>
        <row r="321">
          <cell r="A321">
            <v>45866</v>
          </cell>
        </row>
        <row r="322">
          <cell r="A322">
            <v>45867</v>
          </cell>
        </row>
        <row r="323">
          <cell r="A323">
            <v>45867</v>
          </cell>
        </row>
        <row r="324">
          <cell r="A324">
            <v>45867</v>
          </cell>
        </row>
        <row r="325">
          <cell r="A325">
            <v>45868</v>
          </cell>
        </row>
        <row r="326">
          <cell r="A326">
            <v>45868</v>
          </cell>
        </row>
        <row r="327">
          <cell r="A327">
            <v>45869</v>
          </cell>
        </row>
        <row r="328">
          <cell r="A328">
            <v>45869</v>
          </cell>
        </row>
        <row r="329">
          <cell r="A329">
            <v>45869</v>
          </cell>
        </row>
        <row r="330">
          <cell r="A330">
            <v>45870</v>
          </cell>
        </row>
        <row r="331">
          <cell r="A331">
            <v>45870</v>
          </cell>
        </row>
        <row r="332">
          <cell r="A332">
            <v>45871</v>
          </cell>
        </row>
        <row r="333">
          <cell r="A333">
            <v>45871</v>
          </cell>
        </row>
        <row r="334">
          <cell r="A334">
            <v>45872</v>
          </cell>
        </row>
        <row r="335">
          <cell r="A335">
            <v>45872</v>
          </cell>
        </row>
        <row r="336">
          <cell r="A336">
            <v>45873</v>
          </cell>
        </row>
        <row r="337">
          <cell r="A337">
            <v>45873</v>
          </cell>
        </row>
        <row r="338">
          <cell r="A338">
            <v>45874</v>
          </cell>
        </row>
        <row r="339">
          <cell r="A339">
            <v>45874</v>
          </cell>
        </row>
        <row r="340">
          <cell r="A340">
            <v>45875</v>
          </cell>
        </row>
        <row r="341">
          <cell r="A341">
            <v>45875</v>
          </cell>
        </row>
        <row r="342">
          <cell r="A342">
            <v>45876</v>
          </cell>
        </row>
        <row r="343">
          <cell r="A343">
            <v>45876</v>
          </cell>
        </row>
        <row r="344">
          <cell r="A344">
            <v>45877</v>
          </cell>
        </row>
        <row r="345">
          <cell r="A345">
            <v>45877</v>
          </cell>
        </row>
        <row r="346">
          <cell r="A346">
            <v>45878</v>
          </cell>
        </row>
        <row r="347">
          <cell r="A347">
            <v>45878</v>
          </cell>
        </row>
        <row r="348">
          <cell r="A348">
            <v>45879</v>
          </cell>
        </row>
        <row r="349">
          <cell r="A349">
            <v>45879</v>
          </cell>
        </row>
        <row r="350">
          <cell r="A350">
            <v>45880</v>
          </cell>
        </row>
        <row r="351">
          <cell r="A351">
            <v>45880</v>
          </cell>
        </row>
        <row r="352">
          <cell r="A352">
            <v>45881</v>
          </cell>
        </row>
        <row r="353">
          <cell r="A353">
            <v>45881</v>
          </cell>
        </row>
        <row r="354">
          <cell r="A354">
            <v>45882</v>
          </cell>
        </row>
        <row r="355">
          <cell r="A355">
            <v>45882</v>
          </cell>
        </row>
        <row r="356">
          <cell r="A356">
            <v>45883</v>
          </cell>
        </row>
        <row r="357">
          <cell r="A357">
            <v>45883</v>
          </cell>
        </row>
        <row r="358">
          <cell r="A358">
            <v>45883</v>
          </cell>
        </row>
        <row r="359">
          <cell r="A359">
            <v>45884</v>
          </cell>
        </row>
        <row r="360">
          <cell r="A360">
            <v>45884</v>
          </cell>
        </row>
        <row r="361">
          <cell r="A361">
            <v>45884</v>
          </cell>
        </row>
        <row r="362">
          <cell r="A362">
            <v>45885</v>
          </cell>
        </row>
        <row r="363">
          <cell r="A363">
            <v>45885</v>
          </cell>
        </row>
        <row r="364">
          <cell r="A364">
            <v>45886</v>
          </cell>
        </row>
        <row r="365">
          <cell r="A365">
            <v>45886</v>
          </cell>
        </row>
        <row r="366">
          <cell r="A366">
            <v>45887</v>
          </cell>
        </row>
        <row r="367">
          <cell r="A367">
            <v>45887</v>
          </cell>
        </row>
        <row r="368">
          <cell r="A368">
            <v>45887</v>
          </cell>
        </row>
        <row r="369">
          <cell r="A369">
            <v>45887</v>
          </cell>
        </row>
        <row r="370">
          <cell r="A370">
            <v>45888</v>
          </cell>
        </row>
        <row r="371">
          <cell r="A371">
            <v>45888</v>
          </cell>
        </row>
        <row r="372">
          <cell r="A372">
            <v>45889</v>
          </cell>
        </row>
        <row r="373">
          <cell r="A373">
            <v>45889</v>
          </cell>
        </row>
        <row r="374">
          <cell r="A374">
            <v>45889</v>
          </cell>
        </row>
        <row r="375">
          <cell r="A375">
            <v>45889</v>
          </cell>
        </row>
        <row r="376">
          <cell r="A376">
            <v>45889</v>
          </cell>
        </row>
        <row r="377">
          <cell r="A377">
            <v>45889</v>
          </cell>
        </row>
        <row r="378">
          <cell r="A378">
            <v>45890</v>
          </cell>
        </row>
        <row r="379">
          <cell r="A379">
            <v>45890</v>
          </cell>
        </row>
        <row r="380">
          <cell r="A380">
            <v>45891</v>
          </cell>
        </row>
        <row r="381">
          <cell r="A381">
            <v>45891</v>
          </cell>
        </row>
        <row r="382">
          <cell r="A382">
            <v>45891</v>
          </cell>
        </row>
        <row r="383">
          <cell r="A383">
            <v>45891</v>
          </cell>
        </row>
        <row r="384">
          <cell r="A384">
            <v>45892</v>
          </cell>
        </row>
        <row r="385">
          <cell r="A385">
            <v>45892</v>
          </cell>
        </row>
        <row r="386">
          <cell r="A386">
            <v>45893</v>
          </cell>
        </row>
        <row r="387">
          <cell r="A387">
            <v>45893</v>
          </cell>
        </row>
        <row r="388">
          <cell r="A388">
            <v>45894</v>
          </cell>
        </row>
        <row r="389">
          <cell r="A389">
            <v>45894</v>
          </cell>
        </row>
        <row r="390">
          <cell r="A390">
            <v>45894</v>
          </cell>
        </row>
        <row r="391">
          <cell r="A391">
            <v>45894</v>
          </cell>
        </row>
        <row r="392">
          <cell r="A392">
            <v>45895</v>
          </cell>
        </row>
        <row r="393">
          <cell r="A393">
            <v>45895</v>
          </cell>
        </row>
        <row r="394">
          <cell r="A394">
            <v>45896</v>
          </cell>
        </row>
        <row r="395">
          <cell r="A395">
            <v>45896</v>
          </cell>
        </row>
        <row r="396">
          <cell r="A396">
            <v>45896</v>
          </cell>
        </row>
        <row r="397">
          <cell r="A397">
            <v>45897</v>
          </cell>
        </row>
        <row r="398">
          <cell r="A398">
            <v>45897</v>
          </cell>
        </row>
        <row r="399">
          <cell r="A399">
            <v>45897</v>
          </cell>
        </row>
        <row r="400">
          <cell r="A400">
            <v>45898</v>
          </cell>
        </row>
        <row r="401">
          <cell r="A401">
            <v>45898</v>
          </cell>
        </row>
        <row r="402">
          <cell r="A402">
            <v>45898</v>
          </cell>
        </row>
        <row r="403">
          <cell r="A403">
            <v>45898</v>
          </cell>
        </row>
        <row r="404">
          <cell r="A404">
            <v>45899</v>
          </cell>
        </row>
        <row r="405">
          <cell r="A405">
            <v>45899</v>
          </cell>
        </row>
        <row r="406">
          <cell r="A406">
            <v>45899</v>
          </cell>
        </row>
        <row r="407">
          <cell r="A407">
            <v>45899</v>
          </cell>
        </row>
        <row r="408">
          <cell r="A408">
            <v>45899</v>
          </cell>
        </row>
        <row r="409">
          <cell r="A409">
            <v>45901</v>
          </cell>
        </row>
        <row r="410">
          <cell r="A410">
            <v>45901</v>
          </cell>
        </row>
        <row r="411">
          <cell r="A411">
            <v>45902</v>
          </cell>
        </row>
        <row r="412">
          <cell r="A412">
            <v>45902</v>
          </cell>
        </row>
        <row r="413">
          <cell r="A413">
            <v>45903</v>
          </cell>
        </row>
        <row r="414">
          <cell r="A414">
            <v>45903</v>
          </cell>
        </row>
        <row r="415">
          <cell r="A415">
            <v>45903</v>
          </cell>
        </row>
        <row r="416">
          <cell r="A416">
            <v>45903</v>
          </cell>
        </row>
        <row r="417">
          <cell r="A417">
            <v>45903</v>
          </cell>
        </row>
        <row r="418">
          <cell r="A418">
            <v>45904</v>
          </cell>
        </row>
        <row r="419">
          <cell r="A419">
            <v>45904</v>
          </cell>
        </row>
        <row r="420">
          <cell r="A420">
            <v>45905</v>
          </cell>
        </row>
        <row r="421">
          <cell r="A421">
            <v>45905</v>
          </cell>
        </row>
        <row r="422">
          <cell r="A422">
            <v>45905</v>
          </cell>
        </row>
        <row r="423">
          <cell r="A423">
            <v>45906</v>
          </cell>
        </row>
        <row r="424">
          <cell r="A424">
            <v>45906</v>
          </cell>
        </row>
        <row r="425">
          <cell r="A425">
            <v>45907</v>
          </cell>
        </row>
        <row r="426">
          <cell r="A426">
            <v>45907</v>
          </cell>
        </row>
        <row r="427">
          <cell r="A427">
            <v>45908</v>
          </cell>
        </row>
        <row r="428">
          <cell r="A428">
            <v>45908</v>
          </cell>
        </row>
        <row r="429">
          <cell r="A429">
            <v>45909</v>
          </cell>
        </row>
        <row r="430">
          <cell r="A430">
            <v>45909</v>
          </cell>
        </row>
        <row r="431">
          <cell r="A431">
            <v>45910</v>
          </cell>
        </row>
        <row r="432">
          <cell r="A432">
            <v>45910</v>
          </cell>
        </row>
        <row r="433">
          <cell r="A433">
            <v>45911</v>
          </cell>
        </row>
        <row r="434">
          <cell r="A434">
            <v>45911</v>
          </cell>
        </row>
        <row r="435">
          <cell r="A435">
            <v>45912</v>
          </cell>
        </row>
        <row r="436">
          <cell r="A436">
            <v>45912</v>
          </cell>
        </row>
        <row r="437">
          <cell r="A437">
            <v>45912</v>
          </cell>
        </row>
        <row r="438">
          <cell r="A438">
            <v>45912</v>
          </cell>
        </row>
        <row r="439">
          <cell r="A439">
            <v>45913</v>
          </cell>
        </row>
        <row r="440">
          <cell r="A440">
            <v>45913</v>
          </cell>
        </row>
        <row r="441">
          <cell r="A441">
            <v>45914</v>
          </cell>
        </row>
        <row r="442">
          <cell r="A442">
            <v>45914</v>
          </cell>
        </row>
        <row r="443">
          <cell r="A443">
            <v>45915</v>
          </cell>
        </row>
        <row r="444">
          <cell r="A444">
            <v>45915</v>
          </cell>
        </row>
        <row r="445">
          <cell r="A445">
            <v>45916</v>
          </cell>
        </row>
        <row r="446">
          <cell r="A446">
            <v>45916</v>
          </cell>
        </row>
        <row r="447">
          <cell r="A447">
            <v>45917</v>
          </cell>
        </row>
        <row r="448">
          <cell r="A448">
            <v>45917</v>
          </cell>
        </row>
        <row r="449">
          <cell r="A449">
            <v>45918</v>
          </cell>
        </row>
        <row r="450">
          <cell r="A450">
            <v>45918</v>
          </cell>
        </row>
        <row r="451">
          <cell r="A451">
            <v>45918</v>
          </cell>
        </row>
        <row r="452">
          <cell r="A452">
            <v>45918</v>
          </cell>
        </row>
        <row r="453">
          <cell r="A453">
            <v>45918</v>
          </cell>
        </row>
        <row r="454">
          <cell r="A454">
            <v>45919</v>
          </cell>
        </row>
        <row r="455">
          <cell r="A455">
            <v>45919</v>
          </cell>
        </row>
        <row r="456">
          <cell r="A456">
            <v>45920</v>
          </cell>
        </row>
        <row r="457">
          <cell r="A457">
            <v>45920</v>
          </cell>
        </row>
        <row r="458">
          <cell r="A458">
            <v>45920</v>
          </cell>
        </row>
        <row r="459">
          <cell r="A459">
            <v>45921</v>
          </cell>
        </row>
        <row r="460">
          <cell r="A460">
            <v>45921</v>
          </cell>
        </row>
        <row r="461">
          <cell r="A461">
            <v>45922</v>
          </cell>
        </row>
        <row r="462">
          <cell r="A462">
            <v>45922</v>
          </cell>
        </row>
        <row r="463">
          <cell r="A463">
            <v>45922</v>
          </cell>
        </row>
        <row r="464">
          <cell r="A464">
            <v>45922</v>
          </cell>
        </row>
        <row r="465">
          <cell r="A465">
            <v>45923</v>
          </cell>
        </row>
        <row r="466">
          <cell r="A466">
            <v>45923</v>
          </cell>
        </row>
        <row r="467">
          <cell r="A467">
            <v>45923</v>
          </cell>
        </row>
        <row r="468">
          <cell r="A468">
            <v>45923</v>
          </cell>
        </row>
        <row r="469">
          <cell r="A469">
            <v>45924</v>
          </cell>
        </row>
        <row r="470">
          <cell r="A470">
            <v>45924</v>
          </cell>
        </row>
        <row r="471">
          <cell r="A471">
            <v>45924</v>
          </cell>
        </row>
        <row r="472">
          <cell r="A472">
            <v>45925</v>
          </cell>
        </row>
        <row r="473">
          <cell r="A473">
            <v>45925</v>
          </cell>
        </row>
        <row r="474">
          <cell r="A474">
            <v>45926</v>
          </cell>
        </row>
        <row r="475">
          <cell r="A475">
            <v>45926</v>
          </cell>
        </row>
        <row r="476">
          <cell r="A476">
            <v>45927</v>
          </cell>
        </row>
        <row r="477">
          <cell r="A477">
            <v>45927</v>
          </cell>
        </row>
        <row r="478">
          <cell r="A478">
            <v>45928</v>
          </cell>
        </row>
        <row r="479">
          <cell r="A479">
            <v>45928</v>
          </cell>
        </row>
        <row r="480">
          <cell r="A480">
            <v>45929</v>
          </cell>
        </row>
        <row r="481">
          <cell r="A481">
            <v>45929</v>
          </cell>
        </row>
        <row r="482">
          <cell r="A482">
            <v>45929</v>
          </cell>
        </row>
        <row r="483">
          <cell r="A483">
            <v>45929</v>
          </cell>
        </row>
        <row r="484">
          <cell r="A484">
            <v>45929</v>
          </cell>
        </row>
        <row r="485">
          <cell r="A485">
            <v>45929</v>
          </cell>
        </row>
        <row r="486">
          <cell r="A486">
            <v>45930</v>
          </cell>
        </row>
        <row r="487">
          <cell r="A487">
            <v>45930</v>
          </cell>
        </row>
        <row r="488">
          <cell r="A488">
            <v>45930</v>
          </cell>
        </row>
        <row r="489">
          <cell r="A489">
            <v>45930</v>
          </cell>
        </row>
        <row r="490">
          <cell r="A490">
            <v>45930</v>
          </cell>
        </row>
        <row r="491">
          <cell r="A491">
            <v>45930</v>
          </cell>
        </row>
        <row r="492">
          <cell r="A492">
            <v>45930</v>
          </cell>
        </row>
        <row r="493">
          <cell r="A493">
            <v>45931</v>
          </cell>
        </row>
        <row r="494">
          <cell r="A494">
            <v>45931</v>
          </cell>
        </row>
        <row r="495">
          <cell r="A495">
            <v>45931</v>
          </cell>
        </row>
        <row r="496">
          <cell r="A496">
            <v>45931</v>
          </cell>
        </row>
        <row r="497">
          <cell r="A497">
            <v>45931</v>
          </cell>
        </row>
        <row r="498">
          <cell r="A498">
            <v>45932</v>
          </cell>
        </row>
        <row r="499">
          <cell r="A499">
            <v>45932</v>
          </cell>
        </row>
        <row r="500">
          <cell r="A500">
            <v>45932</v>
          </cell>
        </row>
        <row r="501">
          <cell r="A501">
            <v>45933</v>
          </cell>
        </row>
        <row r="502">
          <cell r="A502">
            <v>45933</v>
          </cell>
        </row>
        <row r="503">
          <cell r="A503">
            <v>45933</v>
          </cell>
        </row>
        <row r="504">
          <cell r="A504">
            <v>45934</v>
          </cell>
        </row>
        <row r="505">
          <cell r="A505">
            <v>45934</v>
          </cell>
        </row>
        <row r="506">
          <cell r="A506">
            <v>45935</v>
          </cell>
        </row>
        <row r="507">
          <cell r="A507">
            <v>45935</v>
          </cell>
        </row>
        <row r="508">
          <cell r="A508">
            <v>45936</v>
          </cell>
        </row>
        <row r="509">
          <cell r="A509">
            <v>45936</v>
          </cell>
        </row>
        <row r="510">
          <cell r="A510">
            <v>45936</v>
          </cell>
        </row>
        <row r="511">
          <cell r="A511">
            <v>45936</v>
          </cell>
        </row>
        <row r="512">
          <cell r="A512">
            <v>45936</v>
          </cell>
        </row>
        <row r="513">
          <cell r="A513">
            <v>45936</v>
          </cell>
        </row>
        <row r="514">
          <cell r="A514">
            <v>45937</v>
          </cell>
        </row>
        <row r="515">
          <cell r="A515">
            <v>45937</v>
          </cell>
        </row>
        <row r="516">
          <cell r="A516">
            <v>45937</v>
          </cell>
        </row>
        <row r="517">
          <cell r="A517">
            <v>45938</v>
          </cell>
        </row>
        <row r="518">
          <cell r="A518">
            <v>45938</v>
          </cell>
        </row>
        <row r="519">
          <cell r="A519">
            <v>45938</v>
          </cell>
        </row>
        <row r="520">
          <cell r="A520">
            <v>45938</v>
          </cell>
        </row>
        <row r="521">
          <cell r="A521">
            <v>45938</v>
          </cell>
        </row>
        <row r="522">
          <cell r="A522">
            <v>45938</v>
          </cell>
        </row>
        <row r="523">
          <cell r="A523">
            <v>45938</v>
          </cell>
        </row>
        <row r="524">
          <cell r="A524">
            <v>45939</v>
          </cell>
        </row>
        <row r="525">
          <cell r="A525">
            <v>45939</v>
          </cell>
        </row>
        <row r="526">
          <cell r="A526">
            <v>45940</v>
          </cell>
        </row>
        <row r="527">
          <cell r="A527">
            <v>45940</v>
          </cell>
        </row>
        <row r="528">
          <cell r="A528">
            <v>45940</v>
          </cell>
        </row>
        <row r="529">
          <cell r="A529">
            <v>45940</v>
          </cell>
        </row>
        <row r="530">
          <cell r="A530">
            <v>45940</v>
          </cell>
        </row>
        <row r="531">
          <cell r="A531">
            <v>45940</v>
          </cell>
        </row>
        <row r="532">
          <cell r="A532">
            <v>45971</v>
          </cell>
        </row>
        <row r="533">
          <cell r="A533">
            <v>45971</v>
          </cell>
        </row>
        <row r="534">
          <cell r="A534">
            <v>45971</v>
          </cell>
        </row>
        <row r="535">
          <cell r="A535">
            <v>46001</v>
          </cell>
        </row>
        <row r="536">
          <cell r="A536">
            <v>46001</v>
          </cell>
        </row>
        <row r="537">
          <cell r="A537">
            <v>45943</v>
          </cell>
        </row>
        <row r="538">
          <cell r="A538">
            <v>45943</v>
          </cell>
        </row>
        <row r="539">
          <cell r="A539">
            <v>45943</v>
          </cell>
        </row>
        <row r="540">
          <cell r="A540">
            <v>45944</v>
          </cell>
        </row>
        <row r="541">
          <cell r="A541">
            <v>45944</v>
          </cell>
        </row>
        <row r="542">
          <cell r="A542">
            <v>45944</v>
          </cell>
        </row>
        <row r="543">
          <cell r="A543">
            <v>45944</v>
          </cell>
        </row>
        <row r="544">
          <cell r="A544">
            <v>45944</v>
          </cell>
        </row>
        <row r="545">
          <cell r="A545">
            <v>45944</v>
          </cell>
        </row>
        <row r="546">
          <cell r="A546">
            <v>45945</v>
          </cell>
        </row>
        <row r="547">
          <cell r="A547">
            <v>45945</v>
          </cell>
        </row>
        <row r="548">
          <cell r="A548">
            <v>45945</v>
          </cell>
        </row>
        <row r="549">
          <cell r="A549">
            <v>45945</v>
          </cell>
        </row>
        <row r="550">
          <cell r="A550">
            <v>45945</v>
          </cell>
        </row>
        <row r="551">
          <cell r="A551">
            <v>45945</v>
          </cell>
        </row>
        <row r="552">
          <cell r="A552">
            <v>45945</v>
          </cell>
        </row>
        <row r="553">
          <cell r="A553">
            <v>45946</v>
          </cell>
        </row>
        <row r="554">
          <cell r="A554">
            <v>45946</v>
          </cell>
        </row>
        <row r="555">
          <cell r="A555">
            <v>45946</v>
          </cell>
        </row>
        <row r="556">
          <cell r="A556">
            <v>45946</v>
          </cell>
        </row>
        <row r="557">
          <cell r="A557">
            <v>45946</v>
          </cell>
        </row>
        <row r="558">
          <cell r="A558">
            <v>45946</v>
          </cell>
        </row>
        <row r="559">
          <cell r="A559">
            <v>45947</v>
          </cell>
        </row>
        <row r="560">
          <cell r="A560">
            <v>45947</v>
          </cell>
        </row>
        <row r="561">
          <cell r="A561">
            <v>45947</v>
          </cell>
        </row>
        <row r="562">
          <cell r="A562">
            <v>45947</v>
          </cell>
        </row>
        <row r="563">
          <cell r="A563">
            <v>45947</v>
          </cell>
        </row>
        <row r="564">
          <cell r="A564">
            <v>45947</v>
          </cell>
        </row>
        <row r="565">
          <cell r="A565">
            <v>45947</v>
          </cell>
        </row>
        <row r="566">
          <cell r="A566">
            <v>45948</v>
          </cell>
        </row>
        <row r="567">
          <cell r="A567">
            <v>45948</v>
          </cell>
        </row>
        <row r="568">
          <cell r="A568">
            <v>45948</v>
          </cell>
        </row>
        <row r="569">
          <cell r="A569">
            <v>45948</v>
          </cell>
        </row>
        <row r="570">
          <cell r="A570">
            <v>45949</v>
          </cell>
        </row>
        <row r="571">
          <cell r="A571">
            <v>45949</v>
          </cell>
        </row>
        <row r="572">
          <cell r="A572">
            <v>45949</v>
          </cell>
        </row>
        <row r="573">
          <cell r="A573">
            <v>45949</v>
          </cell>
        </row>
        <row r="574">
          <cell r="A574">
            <v>45950</v>
          </cell>
        </row>
        <row r="575">
          <cell r="A575">
            <v>45950</v>
          </cell>
        </row>
        <row r="576">
          <cell r="A576">
            <v>45950</v>
          </cell>
        </row>
        <row r="577">
          <cell r="A577">
            <v>45950</v>
          </cell>
        </row>
        <row r="578">
          <cell r="A578">
            <v>45951</v>
          </cell>
        </row>
        <row r="579">
          <cell r="A579">
            <v>45951</v>
          </cell>
        </row>
        <row r="580">
          <cell r="A580">
            <v>45951</v>
          </cell>
        </row>
        <row r="581">
          <cell r="A581">
            <v>45951</v>
          </cell>
        </row>
        <row r="582">
          <cell r="A582">
            <v>45951</v>
          </cell>
        </row>
        <row r="583">
          <cell r="A583">
            <v>45951</v>
          </cell>
        </row>
        <row r="584">
          <cell r="A584">
            <v>45952</v>
          </cell>
        </row>
        <row r="585">
          <cell r="A585">
            <v>45952</v>
          </cell>
        </row>
        <row r="586">
          <cell r="A586">
            <v>45952</v>
          </cell>
        </row>
        <row r="587">
          <cell r="A587">
            <v>45952</v>
          </cell>
        </row>
        <row r="588">
          <cell r="A588">
            <v>45952</v>
          </cell>
        </row>
        <row r="589">
          <cell r="A589">
            <v>45952</v>
          </cell>
        </row>
        <row r="590">
          <cell r="A590">
            <v>45953</v>
          </cell>
        </row>
        <row r="591">
          <cell r="A591">
            <v>45953</v>
          </cell>
        </row>
        <row r="592">
          <cell r="A592">
            <v>45953</v>
          </cell>
        </row>
        <row r="593">
          <cell r="A593">
            <v>45953</v>
          </cell>
        </row>
        <row r="594">
          <cell r="A594">
            <v>45954</v>
          </cell>
        </row>
        <row r="595">
          <cell r="A595">
            <v>45954</v>
          </cell>
        </row>
        <row r="596">
          <cell r="A596">
            <v>45954</v>
          </cell>
        </row>
        <row r="597">
          <cell r="A597">
            <v>45954</v>
          </cell>
        </row>
        <row r="598">
          <cell r="A598">
            <v>45954</v>
          </cell>
        </row>
        <row r="599">
          <cell r="A599">
            <v>45954</v>
          </cell>
        </row>
        <row r="600">
          <cell r="A600">
            <v>45955</v>
          </cell>
        </row>
        <row r="601">
          <cell r="A601">
            <v>45955</v>
          </cell>
        </row>
        <row r="602">
          <cell r="A602">
            <v>45956</v>
          </cell>
        </row>
        <row r="603">
          <cell r="A603">
            <v>45956</v>
          </cell>
        </row>
        <row r="604">
          <cell r="A604">
            <v>45957</v>
          </cell>
        </row>
        <row r="605">
          <cell r="A605">
            <v>45957</v>
          </cell>
        </row>
        <row r="606">
          <cell r="A606">
            <v>45957</v>
          </cell>
        </row>
        <row r="607">
          <cell r="A607">
            <v>45957</v>
          </cell>
        </row>
        <row r="608">
          <cell r="A608">
            <v>45958</v>
          </cell>
        </row>
        <row r="609">
          <cell r="A609">
            <v>45958</v>
          </cell>
        </row>
        <row r="610">
          <cell r="A610">
            <v>45958</v>
          </cell>
        </row>
        <row r="611">
          <cell r="A611">
            <v>45958</v>
          </cell>
        </row>
        <row r="612">
          <cell r="A612">
            <v>45958</v>
          </cell>
        </row>
        <row r="613">
          <cell r="A613">
            <v>45958</v>
          </cell>
        </row>
        <row r="614">
          <cell r="A614">
            <v>45958</v>
          </cell>
        </row>
        <row r="615">
          <cell r="A615">
            <v>45959</v>
          </cell>
        </row>
        <row r="616">
          <cell r="A616">
            <v>45959</v>
          </cell>
        </row>
        <row r="617">
          <cell r="A617">
            <v>45959</v>
          </cell>
        </row>
        <row r="618">
          <cell r="A618">
            <v>45959</v>
          </cell>
        </row>
        <row r="619">
          <cell r="A619">
            <v>45960</v>
          </cell>
        </row>
        <row r="620">
          <cell r="A620">
            <v>45960</v>
          </cell>
        </row>
        <row r="621">
          <cell r="A621">
            <v>45960</v>
          </cell>
        </row>
        <row r="622">
          <cell r="A622">
            <v>45961</v>
          </cell>
        </row>
        <row r="623">
          <cell r="A623">
            <v>45961</v>
          </cell>
        </row>
        <row r="624">
          <cell r="A624">
            <v>45961</v>
          </cell>
        </row>
        <row r="625">
          <cell r="A625">
            <v>45961</v>
          </cell>
        </row>
        <row r="626">
          <cell r="A626">
            <v>45961</v>
          </cell>
        </row>
        <row r="627">
          <cell r="A627">
            <v>45961</v>
          </cell>
        </row>
        <row r="628">
          <cell r="A628">
            <v>45961</v>
          </cell>
        </row>
        <row r="629">
          <cell r="A629">
            <v>45961</v>
          </cell>
        </row>
        <row r="630">
          <cell r="A630">
            <v>45961</v>
          </cell>
        </row>
        <row r="631">
          <cell r="A631">
            <v>45961</v>
          </cell>
        </row>
        <row r="632">
          <cell r="A632">
            <v>45961</v>
          </cell>
        </row>
        <row r="633">
          <cell r="A633">
            <v>45962</v>
          </cell>
        </row>
        <row r="634">
          <cell r="A634">
            <v>45962</v>
          </cell>
        </row>
        <row r="635">
          <cell r="A635">
            <v>45963</v>
          </cell>
        </row>
        <row r="636">
          <cell r="A636">
            <v>45963</v>
          </cell>
        </row>
        <row r="637">
          <cell r="A637">
            <v>45964</v>
          </cell>
        </row>
        <row r="638">
          <cell r="A638">
            <v>45964</v>
          </cell>
        </row>
        <row r="639">
          <cell r="A639">
            <v>45964</v>
          </cell>
        </row>
        <row r="640">
          <cell r="A640">
            <v>45964</v>
          </cell>
        </row>
        <row r="641">
          <cell r="A641">
            <v>45964</v>
          </cell>
        </row>
        <row r="642">
          <cell r="A642">
            <v>45964</v>
          </cell>
        </row>
        <row r="643">
          <cell r="A643">
            <v>45964</v>
          </cell>
        </row>
        <row r="644">
          <cell r="A644">
            <v>45964</v>
          </cell>
        </row>
        <row r="645">
          <cell r="A645">
            <v>45965</v>
          </cell>
        </row>
        <row r="646">
          <cell r="A646">
            <v>45965</v>
          </cell>
        </row>
        <row r="647">
          <cell r="A647">
            <v>45965</v>
          </cell>
        </row>
        <row r="648">
          <cell r="A648">
            <v>45966</v>
          </cell>
        </row>
        <row r="649">
          <cell r="A649">
            <v>45966</v>
          </cell>
        </row>
        <row r="650">
          <cell r="A650">
            <v>45966</v>
          </cell>
        </row>
        <row r="651">
          <cell r="A651">
            <v>45966</v>
          </cell>
        </row>
        <row r="652">
          <cell r="A652">
            <v>45966</v>
          </cell>
        </row>
        <row r="653">
          <cell r="A653">
            <v>45966</v>
          </cell>
        </row>
        <row r="654">
          <cell r="A654">
            <v>45967</v>
          </cell>
        </row>
        <row r="655">
          <cell r="A655">
            <v>45967</v>
          </cell>
        </row>
        <row r="656">
          <cell r="A656">
            <v>45967</v>
          </cell>
        </row>
        <row r="657">
          <cell r="A657">
            <v>45967</v>
          </cell>
        </row>
        <row r="658">
          <cell r="A658">
            <v>45968</v>
          </cell>
        </row>
        <row r="659">
          <cell r="A659">
            <v>45968</v>
          </cell>
        </row>
        <row r="660">
          <cell r="A660">
            <v>45969</v>
          </cell>
        </row>
        <row r="661">
          <cell r="A661">
            <v>45969</v>
          </cell>
        </row>
        <row r="662">
          <cell r="A662">
            <v>45970</v>
          </cell>
        </row>
        <row r="663">
          <cell r="A663">
            <v>45970</v>
          </cell>
        </row>
        <row r="664">
          <cell r="A664">
            <v>45971</v>
          </cell>
        </row>
        <row r="665">
          <cell r="A665">
            <v>45971</v>
          </cell>
        </row>
        <row r="666">
          <cell r="A666">
            <v>45971</v>
          </cell>
        </row>
        <row r="667">
          <cell r="A667">
            <v>45971</v>
          </cell>
        </row>
        <row r="668">
          <cell r="A668">
            <v>45971</v>
          </cell>
        </row>
        <row r="669">
          <cell r="A669">
            <v>45971</v>
          </cell>
        </row>
        <row r="670">
          <cell r="A670">
            <v>45972</v>
          </cell>
        </row>
        <row r="671">
          <cell r="A671">
            <v>45972</v>
          </cell>
        </row>
        <row r="672">
          <cell r="A672">
            <v>45973</v>
          </cell>
        </row>
        <row r="673">
          <cell r="A673">
            <v>45973</v>
          </cell>
        </row>
        <row r="674">
          <cell r="A674">
            <v>45974</v>
          </cell>
        </row>
        <row r="675">
          <cell r="A675">
            <v>45974</v>
          </cell>
        </row>
        <row r="676">
          <cell r="A676">
            <v>45974</v>
          </cell>
        </row>
        <row r="677">
          <cell r="A677">
            <v>45974</v>
          </cell>
        </row>
        <row r="678">
          <cell r="A678">
            <v>45974</v>
          </cell>
        </row>
        <row r="679">
          <cell r="A679">
            <v>45974</v>
          </cell>
        </row>
        <row r="680">
          <cell r="A680">
            <v>45975</v>
          </cell>
        </row>
        <row r="681">
          <cell r="A681">
            <v>45975</v>
          </cell>
        </row>
        <row r="682">
          <cell r="A682">
            <v>45975</v>
          </cell>
        </row>
        <row r="683">
          <cell r="A683">
            <v>45975</v>
          </cell>
        </row>
        <row r="684">
          <cell r="A684">
            <v>45976</v>
          </cell>
        </row>
        <row r="685">
          <cell r="A685">
            <v>45976</v>
          </cell>
        </row>
        <row r="686">
          <cell r="A686">
            <v>45977</v>
          </cell>
        </row>
        <row r="687">
          <cell r="A687">
            <v>45977</v>
          </cell>
        </row>
        <row r="688">
          <cell r="A688">
            <v>45978</v>
          </cell>
        </row>
        <row r="689">
          <cell r="A689">
            <v>45978</v>
          </cell>
        </row>
        <row r="690">
          <cell r="A690">
            <v>45978</v>
          </cell>
        </row>
        <row r="691">
          <cell r="A691">
            <v>45978</v>
          </cell>
        </row>
        <row r="692">
          <cell r="A692">
            <v>45978</v>
          </cell>
        </row>
        <row r="693">
          <cell r="A693">
            <v>45978</v>
          </cell>
        </row>
        <row r="694">
          <cell r="A694">
            <v>45979</v>
          </cell>
        </row>
        <row r="695">
          <cell r="A695">
            <v>45979</v>
          </cell>
        </row>
        <row r="696">
          <cell r="A696">
            <v>45979</v>
          </cell>
        </row>
        <row r="697">
          <cell r="A697">
            <v>45979</v>
          </cell>
        </row>
        <row r="698">
          <cell r="A698">
            <v>45980</v>
          </cell>
        </row>
        <row r="699">
          <cell r="A699">
            <v>45980</v>
          </cell>
        </row>
        <row r="700">
          <cell r="A700">
            <v>45980</v>
          </cell>
        </row>
        <row r="701">
          <cell r="A701">
            <v>45980</v>
          </cell>
        </row>
        <row r="702">
          <cell r="A702">
            <v>45981</v>
          </cell>
        </row>
        <row r="703">
          <cell r="A703">
            <v>45981</v>
          </cell>
        </row>
        <row r="704">
          <cell r="A704">
            <v>45981</v>
          </cell>
        </row>
        <row r="705">
          <cell r="A705">
            <v>45981</v>
          </cell>
        </row>
        <row r="706">
          <cell r="A706">
            <v>45982</v>
          </cell>
        </row>
        <row r="707">
          <cell r="A707">
            <v>45982</v>
          </cell>
        </row>
        <row r="708">
          <cell r="A708">
            <v>45982</v>
          </cell>
        </row>
        <row r="709">
          <cell r="A709">
            <v>45982</v>
          </cell>
        </row>
        <row r="710">
          <cell r="A710">
            <v>45983</v>
          </cell>
        </row>
        <row r="711">
          <cell r="A711">
            <v>45983</v>
          </cell>
        </row>
        <row r="712">
          <cell r="A712">
            <v>45984</v>
          </cell>
        </row>
        <row r="713">
          <cell r="A713">
            <v>45984</v>
          </cell>
        </row>
        <row r="714">
          <cell r="A714">
            <v>45985</v>
          </cell>
        </row>
        <row r="715">
          <cell r="A715">
            <v>45985</v>
          </cell>
        </row>
        <row r="716">
          <cell r="A716">
            <v>45986</v>
          </cell>
        </row>
        <row r="717">
          <cell r="A717">
            <v>45986</v>
          </cell>
        </row>
        <row r="718">
          <cell r="A718">
            <v>45986</v>
          </cell>
        </row>
        <row r="719">
          <cell r="A719">
            <v>45986</v>
          </cell>
        </row>
        <row r="720">
          <cell r="A720">
            <v>45986</v>
          </cell>
        </row>
        <row r="721">
          <cell r="A721">
            <v>45986</v>
          </cell>
        </row>
        <row r="722">
          <cell r="A722">
            <v>45987</v>
          </cell>
        </row>
        <row r="723">
          <cell r="A723">
            <v>45987</v>
          </cell>
        </row>
        <row r="724">
          <cell r="A724">
            <v>45987</v>
          </cell>
        </row>
        <row r="725">
          <cell r="A725">
            <v>45987</v>
          </cell>
        </row>
        <row r="726">
          <cell r="A726">
            <v>45987</v>
          </cell>
        </row>
        <row r="727">
          <cell r="A727">
            <v>45987</v>
          </cell>
        </row>
        <row r="728">
          <cell r="A728">
            <v>45987</v>
          </cell>
        </row>
        <row r="729">
          <cell r="A729">
            <v>45987</v>
          </cell>
        </row>
        <row r="730">
          <cell r="A730">
            <v>45987</v>
          </cell>
        </row>
        <row r="731">
          <cell r="A731">
            <v>45987</v>
          </cell>
        </row>
        <row r="732">
          <cell r="A732">
            <v>45988</v>
          </cell>
        </row>
        <row r="733">
          <cell r="A733">
            <v>45988</v>
          </cell>
        </row>
        <row r="734">
          <cell r="A734">
            <v>45989</v>
          </cell>
        </row>
        <row r="735">
          <cell r="A735">
            <v>45989</v>
          </cell>
        </row>
        <row r="736">
          <cell r="A736">
            <v>45989</v>
          </cell>
        </row>
        <row r="737">
          <cell r="A737">
            <v>45989</v>
          </cell>
        </row>
        <row r="738">
          <cell r="A738">
            <v>45990</v>
          </cell>
        </row>
        <row r="739">
          <cell r="A739">
            <v>45990</v>
          </cell>
        </row>
        <row r="740">
          <cell r="A740">
            <v>45990</v>
          </cell>
        </row>
        <row r="741">
          <cell r="A741">
            <v>45990</v>
          </cell>
        </row>
        <row r="742">
          <cell r="A742">
            <v>45990</v>
          </cell>
        </row>
        <row r="743">
          <cell r="A743">
            <v>45990</v>
          </cell>
        </row>
        <row r="744">
          <cell r="A744">
            <v>45990</v>
          </cell>
        </row>
        <row r="745">
          <cell r="A745">
            <v>45990</v>
          </cell>
        </row>
        <row r="746">
          <cell r="A746">
            <v>45992</v>
          </cell>
        </row>
        <row r="747">
          <cell r="A747">
            <v>45992</v>
          </cell>
        </row>
        <row r="748">
          <cell r="A748">
            <v>45992</v>
          </cell>
        </row>
        <row r="749">
          <cell r="A749">
            <v>45992</v>
          </cell>
        </row>
        <row r="750">
          <cell r="A750">
            <v>45992</v>
          </cell>
        </row>
        <row r="751">
          <cell r="A751">
            <v>45992</v>
          </cell>
        </row>
        <row r="752">
          <cell r="A752">
            <v>45992</v>
          </cell>
        </row>
        <row r="753">
          <cell r="A753">
            <v>45992</v>
          </cell>
        </row>
        <row r="754">
          <cell r="A754">
            <v>45993</v>
          </cell>
        </row>
        <row r="755">
          <cell r="A755">
            <v>45993</v>
          </cell>
        </row>
        <row r="756">
          <cell r="A756">
            <v>45993</v>
          </cell>
        </row>
        <row r="757">
          <cell r="A757">
            <v>45993</v>
          </cell>
        </row>
        <row r="758">
          <cell r="A758">
            <v>45993</v>
          </cell>
        </row>
        <row r="759">
          <cell r="A759">
            <v>45993</v>
          </cell>
        </row>
        <row r="760">
          <cell r="A760">
            <v>45993</v>
          </cell>
        </row>
        <row r="761">
          <cell r="A761">
            <v>45993</v>
          </cell>
        </row>
        <row r="762">
          <cell r="A762">
            <v>45994</v>
          </cell>
        </row>
        <row r="763">
          <cell r="A763">
            <v>45994</v>
          </cell>
        </row>
        <row r="764">
          <cell r="A764">
            <v>45994</v>
          </cell>
        </row>
        <row r="765">
          <cell r="A765">
            <v>45994</v>
          </cell>
        </row>
        <row r="766">
          <cell r="A766">
            <v>45994</v>
          </cell>
        </row>
        <row r="767">
          <cell r="A767">
            <v>45994</v>
          </cell>
        </row>
        <row r="768">
          <cell r="A768">
            <v>45995</v>
          </cell>
        </row>
        <row r="769">
          <cell r="A769">
            <v>45995</v>
          </cell>
        </row>
        <row r="770">
          <cell r="A770">
            <v>45995</v>
          </cell>
        </row>
        <row r="771">
          <cell r="A771">
            <v>45995</v>
          </cell>
        </row>
        <row r="772">
          <cell r="A772">
            <v>45996</v>
          </cell>
        </row>
        <row r="773">
          <cell r="A773">
            <v>45996</v>
          </cell>
        </row>
        <row r="774">
          <cell r="A774">
            <v>45996</v>
          </cell>
        </row>
        <row r="775">
          <cell r="A775">
            <v>45996</v>
          </cell>
        </row>
        <row r="776">
          <cell r="A776">
            <v>45996</v>
          </cell>
        </row>
        <row r="777">
          <cell r="A777">
            <v>45996</v>
          </cell>
        </row>
        <row r="778">
          <cell r="A778">
            <v>45996</v>
          </cell>
        </row>
        <row r="779">
          <cell r="A779">
            <v>45996</v>
          </cell>
        </row>
        <row r="780">
          <cell r="A780">
            <v>45997</v>
          </cell>
        </row>
        <row r="781">
          <cell r="A781">
            <v>45997</v>
          </cell>
        </row>
        <row r="782">
          <cell r="A782">
            <v>45997</v>
          </cell>
        </row>
        <row r="783">
          <cell r="A783">
            <v>45997</v>
          </cell>
        </row>
        <row r="784">
          <cell r="A784">
            <v>45998</v>
          </cell>
        </row>
        <row r="785">
          <cell r="A785">
            <v>45998</v>
          </cell>
        </row>
        <row r="786">
          <cell r="A786">
            <v>45999</v>
          </cell>
        </row>
        <row r="787">
          <cell r="A787">
            <v>45999</v>
          </cell>
        </row>
        <row r="788">
          <cell r="A788">
            <v>46000</v>
          </cell>
        </row>
        <row r="789">
          <cell r="A789">
            <v>46000</v>
          </cell>
        </row>
        <row r="790">
          <cell r="A790">
            <v>46000</v>
          </cell>
        </row>
        <row r="791">
          <cell r="A791">
            <v>46000</v>
          </cell>
        </row>
        <row r="792">
          <cell r="A792">
            <v>46001</v>
          </cell>
        </row>
        <row r="793">
          <cell r="A793">
            <v>46001</v>
          </cell>
        </row>
        <row r="794">
          <cell r="A794">
            <v>46001</v>
          </cell>
        </row>
        <row r="795">
          <cell r="A795">
            <v>46001</v>
          </cell>
        </row>
        <row r="796">
          <cell r="A796">
            <v>46001</v>
          </cell>
        </row>
        <row r="797">
          <cell r="A797">
            <v>46002</v>
          </cell>
        </row>
        <row r="798">
          <cell r="A798">
            <v>46002</v>
          </cell>
        </row>
        <row r="799">
          <cell r="A799">
            <v>46002</v>
          </cell>
        </row>
        <row r="800">
          <cell r="A800">
            <v>46002</v>
          </cell>
        </row>
        <row r="801">
          <cell r="A801">
            <v>46002</v>
          </cell>
        </row>
        <row r="802">
          <cell r="A802">
            <v>46002</v>
          </cell>
        </row>
        <row r="803">
          <cell r="A803">
            <v>46003</v>
          </cell>
        </row>
        <row r="804">
          <cell r="A804">
            <v>46003</v>
          </cell>
        </row>
        <row r="805">
          <cell r="A805">
            <v>46003</v>
          </cell>
        </row>
        <row r="806">
          <cell r="A806">
            <v>46003</v>
          </cell>
        </row>
        <row r="807">
          <cell r="A807">
            <v>46003</v>
          </cell>
        </row>
        <row r="808">
          <cell r="A808">
            <v>46004</v>
          </cell>
        </row>
        <row r="809">
          <cell r="A809">
            <v>46004</v>
          </cell>
        </row>
        <row r="810">
          <cell r="A810">
            <v>46004</v>
          </cell>
        </row>
        <row r="811">
          <cell r="A811">
            <v>46005</v>
          </cell>
        </row>
        <row r="812">
          <cell r="A812">
            <v>46005</v>
          </cell>
        </row>
        <row r="813">
          <cell r="A813">
            <v>46006</v>
          </cell>
        </row>
        <row r="814">
          <cell r="A814">
            <v>46006</v>
          </cell>
        </row>
        <row r="815">
          <cell r="A815">
            <v>46006</v>
          </cell>
        </row>
        <row r="816">
          <cell r="A816">
            <v>46006</v>
          </cell>
        </row>
        <row r="817">
          <cell r="A817">
            <v>46007</v>
          </cell>
        </row>
        <row r="818">
          <cell r="A818">
            <v>46007</v>
          </cell>
        </row>
        <row r="819">
          <cell r="A819">
            <v>46007</v>
          </cell>
        </row>
        <row r="820">
          <cell r="A820">
            <v>46007</v>
          </cell>
        </row>
        <row r="821">
          <cell r="A821">
            <v>46008</v>
          </cell>
        </row>
        <row r="822">
          <cell r="A822">
            <v>46008</v>
          </cell>
        </row>
        <row r="823">
          <cell r="A823">
            <v>46009</v>
          </cell>
        </row>
        <row r="824">
          <cell r="A824">
            <v>46009</v>
          </cell>
        </row>
        <row r="825">
          <cell r="A825">
            <v>46010</v>
          </cell>
        </row>
        <row r="826">
          <cell r="A826">
            <v>46010</v>
          </cell>
        </row>
        <row r="827">
          <cell r="A827">
            <v>46011</v>
          </cell>
        </row>
        <row r="828">
          <cell r="A828">
            <v>46011</v>
          </cell>
        </row>
        <row r="829">
          <cell r="A829">
            <v>46012</v>
          </cell>
        </row>
        <row r="830">
          <cell r="A830">
            <v>46012</v>
          </cell>
        </row>
        <row r="831">
          <cell r="A831">
            <v>46013</v>
          </cell>
        </row>
        <row r="832">
          <cell r="A832">
            <v>46013</v>
          </cell>
        </row>
        <row r="833">
          <cell r="A833">
            <v>46013</v>
          </cell>
        </row>
        <row r="834">
          <cell r="A834">
            <v>46013</v>
          </cell>
        </row>
        <row r="835">
          <cell r="A835">
            <v>46013</v>
          </cell>
        </row>
        <row r="836">
          <cell r="A836">
            <v>46014</v>
          </cell>
        </row>
        <row r="837">
          <cell r="A837">
            <v>46014</v>
          </cell>
        </row>
        <row r="838">
          <cell r="A838">
            <v>46015</v>
          </cell>
        </row>
        <row r="839">
          <cell r="A839">
            <v>46015</v>
          </cell>
        </row>
        <row r="840">
          <cell r="A840">
            <v>46016</v>
          </cell>
        </row>
        <row r="841">
          <cell r="A841">
            <v>46016</v>
          </cell>
        </row>
        <row r="842">
          <cell r="A842">
            <v>46017</v>
          </cell>
        </row>
        <row r="843">
          <cell r="A843">
            <v>46017</v>
          </cell>
        </row>
        <row r="844">
          <cell r="A844">
            <v>46017</v>
          </cell>
        </row>
        <row r="845">
          <cell r="A845">
            <v>46017</v>
          </cell>
        </row>
        <row r="846">
          <cell r="A846">
            <v>46017</v>
          </cell>
        </row>
        <row r="847">
          <cell r="A847">
            <v>46017</v>
          </cell>
        </row>
        <row r="848">
          <cell r="A848">
            <v>46017</v>
          </cell>
        </row>
        <row r="849">
          <cell r="A849">
            <v>46017</v>
          </cell>
        </row>
        <row r="850">
          <cell r="A850">
            <v>46017</v>
          </cell>
        </row>
        <row r="851">
          <cell r="A851">
            <v>46018</v>
          </cell>
        </row>
        <row r="852">
          <cell r="A852">
            <v>46018</v>
          </cell>
        </row>
        <row r="853">
          <cell r="A853">
            <v>46018</v>
          </cell>
        </row>
        <row r="854">
          <cell r="A854">
            <v>46018</v>
          </cell>
        </row>
        <row r="855">
          <cell r="A855">
            <v>46019</v>
          </cell>
        </row>
        <row r="856">
          <cell r="A856">
            <v>46019</v>
          </cell>
        </row>
        <row r="857">
          <cell r="A857">
            <v>46019</v>
          </cell>
        </row>
        <row r="858">
          <cell r="A858">
            <v>46020</v>
          </cell>
        </row>
        <row r="859">
          <cell r="A859">
            <v>46020</v>
          </cell>
        </row>
        <row r="860">
          <cell r="A860">
            <v>46020</v>
          </cell>
        </row>
        <row r="861">
          <cell r="A861">
            <v>46020</v>
          </cell>
        </row>
        <row r="862">
          <cell r="A862">
            <v>46020</v>
          </cell>
        </row>
        <row r="863">
          <cell r="A863">
            <v>46020</v>
          </cell>
        </row>
        <row r="864">
          <cell r="A864">
            <v>46021</v>
          </cell>
        </row>
        <row r="865">
          <cell r="A865">
            <v>46021</v>
          </cell>
        </row>
        <row r="866">
          <cell r="A866">
            <v>46021</v>
          </cell>
        </row>
        <row r="867">
          <cell r="A867">
            <v>46021</v>
          </cell>
        </row>
        <row r="868">
          <cell r="A868">
            <v>46021</v>
          </cell>
        </row>
        <row r="869">
          <cell r="A869">
            <v>46021</v>
          </cell>
        </row>
        <row r="870">
          <cell r="A870">
            <v>46022</v>
          </cell>
        </row>
        <row r="871">
          <cell r="A871">
            <v>46022</v>
          </cell>
        </row>
        <row r="872">
          <cell r="A872">
            <v>46022</v>
          </cell>
        </row>
        <row r="873">
          <cell r="A873">
            <v>46022</v>
          </cell>
        </row>
        <row r="874">
          <cell r="A874">
            <v>46022</v>
          </cell>
        </row>
        <row r="875">
          <cell r="A875">
            <v>46022</v>
          </cell>
        </row>
        <row r="876">
          <cell r="A876">
            <v>46022</v>
          </cell>
        </row>
        <row r="877">
          <cell r="A877">
            <v>46023</v>
          </cell>
        </row>
        <row r="878">
          <cell r="A878">
            <v>46023</v>
          </cell>
        </row>
        <row r="879">
          <cell r="A879">
            <v>46023</v>
          </cell>
        </row>
        <row r="880">
          <cell r="A880">
            <v>46024</v>
          </cell>
        </row>
        <row r="881">
          <cell r="A881">
            <v>46024</v>
          </cell>
        </row>
        <row r="882">
          <cell r="A882">
            <v>46024</v>
          </cell>
        </row>
        <row r="883">
          <cell r="A883">
            <v>46025</v>
          </cell>
        </row>
        <row r="884">
          <cell r="A884">
            <v>46025</v>
          </cell>
        </row>
        <row r="885">
          <cell r="A885">
            <v>46025</v>
          </cell>
        </row>
        <row r="886">
          <cell r="A886">
            <v>46026</v>
          </cell>
        </row>
        <row r="887">
          <cell r="A887">
            <v>46026</v>
          </cell>
        </row>
        <row r="888">
          <cell r="A888">
            <v>46026</v>
          </cell>
        </row>
        <row r="889">
          <cell r="A889">
            <v>46027</v>
          </cell>
        </row>
        <row r="890">
          <cell r="A890">
            <v>46027</v>
          </cell>
        </row>
        <row r="891">
          <cell r="A891">
            <v>46027</v>
          </cell>
        </row>
        <row r="892">
          <cell r="A892">
            <v>46027</v>
          </cell>
        </row>
        <row r="893">
          <cell r="A893">
            <v>46028</v>
          </cell>
        </row>
        <row r="894">
          <cell r="A894">
            <v>46028</v>
          </cell>
        </row>
        <row r="895">
          <cell r="A895">
            <v>46028</v>
          </cell>
        </row>
        <row r="896">
          <cell r="A896">
            <v>46029</v>
          </cell>
        </row>
        <row r="897">
          <cell r="A897">
            <v>46029</v>
          </cell>
        </row>
        <row r="898">
          <cell r="A898">
            <v>46029</v>
          </cell>
        </row>
        <row r="899">
          <cell r="A899">
            <v>46030</v>
          </cell>
        </row>
        <row r="900">
          <cell r="A900">
            <v>46030</v>
          </cell>
        </row>
        <row r="901">
          <cell r="A901">
            <v>46030</v>
          </cell>
        </row>
        <row r="902">
          <cell r="A902">
            <v>46031</v>
          </cell>
        </row>
        <row r="903">
          <cell r="A903">
            <v>46031</v>
          </cell>
        </row>
        <row r="904">
          <cell r="A904">
            <v>46031</v>
          </cell>
        </row>
        <row r="905">
          <cell r="A905">
            <v>46032</v>
          </cell>
        </row>
        <row r="906">
          <cell r="A906">
            <v>46032</v>
          </cell>
        </row>
        <row r="907">
          <cell r="A907">
            <v>46032</v>
          </cell>
        </row>
        <row r="908">
          <cell r="A908">
            <v>46033</v>
          </cell>
        </row>
        <row r="909">
          <cell r="A909">
            <v>46033</v>
          </cell>
        </row>
        <row r="910">
          <cell r="A910">
            <v>46033</v>
          </cell>
        </row>
        <row r="911">
          <cell r="A911">
            <v>46034</v>
          </cell>
        </row>
        <row r="912">
          <cell r="A912">
            <v>46034</v>
          </cell>
        </row>
        <row r="913">
          <cell r="A913">
            <v>46034</v>
          </cell>
        </row>
        <row r="914">
          <cell r="A914">
            <v>46035</v>
          </cell>
        </row>
        <row r="915">
          <cell r="A915">
            <v>46035</v>
          </cell>
        </row>
        <row r="916">
          <cell r="A916">
            <v>46035</v>
          </cell>
        </row>
        <row r="917">
          <cell r="A917">
            <v>46036</v>
          </cell>
        </row>
        <row r="918">
          <cell r="A918">
            <v>46036</v>
          </cell>
        </row>
        <row r="919">
          <cell r="A919">
            <v>46036</v>
          </cell>
        </row>
        <row r="920">
          <cell r="A920">
            <v>46036</v>
          </cell>
        </row>
        <row r="921">
          <cell r="A921">
            <v>46036</v>
          </cell>
        </row>
        <row r="922">
          <cell r="A922">
            <v>46036</v>
          </cell>
        </row>
        <row r="923">
          <cell r="A923">
            <v>46037</v>
          </cell>
        </row>
        <row r="924">
          <cell r="A924">
            <v>46037</v>
          </cell>
        </row>
        <row r="925">
          <cell r="A925">
            <v>46037</v>
          </cell>
        </row>
        <row r="926">
          <cell r="A926">
            <v>46038</v>
          </cell>
        </row>
        <row r="927">
          <cell r="A927">
            <v>46038</v>
          </cell>
        </row>
        <row r="928">
          <cell r="A928">
            <v>46038</v>
          </cell>
        </row>
        <row r="929">
          <cell r="A929">
            <v>46039</v>
          </cell>
        </row>
        <row r="930">
          <cell r="A930">
            <v>46039</v>
          </cell>
        </row>
        <row r="931">
          <cell r="A931">
            <v>46039</v>
          </cell>
        </row>
        <row r="932">
          <cell r="A932">
            <v>46040</v>
          </cell>
        </row>
        <row r="933">
          <cell r="A933">
            <v>46040</v>
          </cell>
        </row>
        <row r="934">
          <cell r="A934">
            <v>46040</v>
          </cell>
        </row>
        <row r="935">
          <cell r="A935">
            <v>46041</v>
          </cell>
        </row>
        <row r="936">
          <cell r="A936">
            <v>46041</v>
          </cell>
        </row>
        <row r="937">
          <cell r="A937">
            <v>46041</v>
          </cell>
        </row>
        <row r="938">
          <cell r="A938">
            <v>46041</v>
          </cell>
        </row>
        <row r="939">
          <cell r="A939">
            <v>46041</v>
          </cell>
        </row>
        <row r="940">
          <cell r="A940">
            <v>46041</v>
          </cell>
        </row>
        <row r="941">
          <cell r="A941">
            <v>46042</v>
          </cell>
        </row>
        <row r="942">
          <cell r="A942">
            <v>46042</v>
          </cell>
        </row>
        <row r="943">
          <cell r="A943">
            <v>46042</v>
          </cell>
        </row>
        <row r="944">
          <cell r="A944">
            <v>46042</v>
          </cell>
        </row>
        <row r="945">
          <cell r="A945">
            <v>46042</v>
          </cell>
        </row>
        <row r="946">
          <cell r="A946">
            <v>46042</v>
          </cell>
        </row>
        <row r="947">
          <cell r="A947">
            <v>46043</v>
          </cell>
        </row>
        <row r="948">
          <cell r="A948">
            <v>46043</v>
          </cell>
        </row>
        <row r="949">
          <cell r="A949">
            <v>46043</v>
          </cell>
        </row>
        <row r="950">
          <cell r="A950">
            <v>46044</v>
          </cell>
        </row>
        <row r="951">
          <cell r="A951">
            <v>46044</v>
          </cell>
        </row>
        <row r="952">
          <cell r="A952">
            <v>46044</v>
          </cell>
        </row>
        <row r="953">
          <cell r="A953">
            <v>46045</v>
          </cell>
        </row>
        <row r="954">
          <cell r="A954">
            <v>46045</v>
          </cell>
        </row>
        <row r="955">
          <cell r="A955">
            <v>46045</v>
          </cell>
        </row>
        <row r="956">
          <cell r="A956">
            <v>46045</v>
          </cell>
        </row>
        <row r="957">
          <cell r="A957">
            <v>46045</v>
          </cell>
        </row>
        <row r="958">
          <cell r="A958">
            <v>46045</v>
          </cell>
        </row>
        <row r="959">
          <cell r="A959">
            <v>46046</v>
          </cell>
        </row>
        <row r="960">
          <cell r="A960">
            <v>46046</v>
          </cell>
        </row>
        <row r="961">
          <cell r="A961">
            <v>46046</v>
          </cell>
        </row>
        <row r="962">
          <cell r="A962">
            <v>46047</v>
          </cell>
        </row>
        <row r="963">
          <cell r="A963">
            <v>46047</v>
          </cell>
        </row>
        <row r="964">
          <cell r="A964">
            <v>46047</v>
          </cell>
        </row>
        <row r="965">
          <cell r="A965">
            <v>46048</v>
          </cell>
        </row>
        <row r="966">
          <cell r="A966">
            <v>46048</v>
          </cell>
        </row>
        <row r="967">
          <cell r="A967">
            <v>46048</v>
          </cell>
        </row>
        <row r="968">
          <cell r="A968">
            <v>46049</v>
          </cell>
        </row>
        <row r="969">
          <cell r="A969">
            <v>46049</v>
          </cell>
        </row>
        <row r="970">
          <cell r="A970">
            <v>46049</v>
          </cell>
        </row>
        <row r="971">
          <cell r="A971">
            <v>46049</v>
          </cell>
        </row>
        <row r="972">
          <cell r="A972">
            <v>46049</v>
          </cell>
        </row>
        <row r="973">
          <cell r="A973">
            <v>46049</v>
          </cell>
        </row>
        <row r="974">
          <cell r="A974">
            <v>46050</v>
          </cell>
        </row>
        <row r="975">
          <cell r="A975">
            <v>46050</v>
          </cell>
        </row>
        <row r="976">
          <cell r="A976">
            <v>46050</v>
          </cell>
        </row>
        <row r="977">
          <cell r="A977">
            <v>46051</v>
          </cell>
        </row>
        <row r="978">
          <cell r="A978">
            <v>46051</v>
          </cell>
        </row>
        <row r="979">
          <cell r="A979">
            <v>46051</v>
          </cell>
        </row>
        <row r="980">
          <cell r="A980">
            <v>46052</v>
          </cell>
        </row>
        <row r="981">
          <cell r="A981">
            <v>46052</v>
          </cell>
        </row>
        <row r="982">
          <cell r="A982">
            <v>46052</v>
          </cell>
        </row>
        <row r="983">
          <cell r="A983">
            <v>46052</v>
          </cell>
        </row>
        <row r="984">
          <cell r="A984">
            <v>46052</v>
          </cell>
        </row>
        <row r="985">
          <cell r="A985">
            <v>46052</v>
          </cell>
        </row>
        <row r="986">
          <cell r="A986">
            <v>46053</v>
          </cell>
        </row>
        <row r="987">
          <cell r="A987">
            <v>46053</v>
          </cell>
        </row>
        <row r="988">
          <cell r="A988">
            <v>46053</v>
          </cell>
        </row>
        <row r="989">
          <cell r="A989">
            <v>46054</v>
          </cell>
        </row>
        <row r="990">
          <cell r="A990">
            <v>46054</v>
          </cell>
        </row>
        <row r="991">
          <cell r="A991">
            <v>46054</v>
          </cell>
        </row>
        <row r="992">
          <cell r="A992">
            <v>46055</v>
          </cell>
        </row>
        <row r="993">
          <cell r="A993">
            <v>46055</v>
          </cell>
        </row>
        <row r="994">
          <cell r="A994">
            <v>46055</v>
          </cell>
        </row>
        <row r="995">
          <cell r="A995">
            <v>46056</v>
          </cell>
        </row>
        <row r="996">
          <cell r="A996">
            <v>46056</v>
          </cell>
        </row>
        <row r="997">
          <cell r="A997">
            <v>46056</v>
          </cell>
        </row>
        <row r="998">
          <cell r="A998">
            <v>46057</v>
          </cell>
        </row>
        <row r="999">
          <cell r="A999">
            <v>46057</v>
          </cell>
        </row>
        <row r="1000">
          <cell r="A1000">
            <v>46057</v>
          </cell>
        </row>
        <row r="1001">
          <cell r="A1001">
            <v>46058</v>
          </cell>
        </row>
        <row r="1002">
          <cell r="A1002">
            <v>46058</v>
          </cell>
        </row>
        <row r="1003">
          <cell r="A1003">
            <v>46058</v>
          </cell>
        </row>
        <row r="1004">
          <cell r="A1004">
            <v>46058</v>
          </cell>
        </row>
        <row r="1005">
          <cell r="A1005">
            <v>46058</v>
          </cell>
        </row>
        <row r="1006">
          <cell r="A1006">
            <v>46058</v>
          </cell>
        </row>
        <row r="1007">
          <cell r="A1007">
            <v>46059</v>
          </cell>
        </row>
        <row r="1008">
          <cell r="A1008">
            <v>46059</v>
          </cell>
        </row>
        <row r="1009">
          <cell r="A1009">
            <v>46059</v>
          </cell>
        </row>
        <row r="1010">
          <cell r="A1010">
            <v>46060</v>
          </cell>
        </row>
        <row r="1011">
          <cell r="A1011">
            <v>46060</v>
          </cell>
        </row>
        <row r="1012">
          <cell r="A1012">
            <v>46060</v>
          </cell>
        </row>
        <row r="1013">
          <cell r="A1013">
            <v>46061</v>
          </cell>
        </row>
        <row r="1014">
          <cell r="A1014">
            <v>46061</v>
          </cell>
        </row>
        <row r="1015">
          <cell r="A1015">
            <v>46061</v>
          </cell>
        </row>
        <row r="1016">
          <cell r="A1016">
            <v>46062</v>
          </cell>
        </row>
        <row r="1017">
          <cell r="A1017">
            <v>46062</v>
          </cell>
        </row>
        <row r="1018">
          <cell r="A1018">
            <v>46062</v>
          </cell>
        </row>
        <row r="1019">
          <cell r="A1019">
            <v>46063</v>
          </cell>
        </row>
        <row r="1020">
          <cell r="A1020">
            <v>46063</v>
          </cell>
        </row>
        <row r="1021">
          <cell r="A1021">
            <v>46063</v>
          </cell>
        </row>
        <row r="1022">
          <cell r="A1022">
            <v>46064</v>
          </cell>
        </row>
        <row r="1023">
          <cell r="A1023">
            <v>46064</v>
          </cell>
        </row>
        <row r="1024">
          <cell r="A1024">
            <v>46064</v>
          </cell>
        </row>
        <row r="1025">
          <cell r="A1025">
            <v>46065</v>
          </cell>
        </row>
        <row r="1026">
          <cell r="A1026">
            <v>46065</v>
          </cell>
        </row>
        <row r="1027">
          <cell r="A1027">
            <v>46065</v>
          </cell>
        </row>
        <row r="1028">
          <cell r="A1028">
            <v>46066</v>
          </cell>
        </row>
        <row r="1029">
          <cell r="A1029">
            <v>46066</v>
          </cell>
        </row>
        <row r="1030">
          <cell r="A1030">
            <v>46066</v>
          </cell>
        </row>
        <row r="1031">
          <cell r="A1031">
            <v>46067</v>
          </cell>
        </row>
        <row r="1032">
          <cell r="A1032">
            <v>46067</v>
          </cell>
        </row>
        <row r="1033">
          <cell r="A1033">
            <v>46067</v>
          </cell>
        </row>
        <row r="1034">
          <cell r="A1034">
            <v>46068</v>
          </cell>
        </row>
        <row r="1035">
          <cell r="A1035">
            <v>46068</v>
          </cell>
        </row>
        <row r="1036">
          <cell r="A1036">
            <v>46068</v>
          </cell>
        </row>
        <row r="1037">
          <cell r="A1037">
            <v>46074</v>
          </cell>
        </row>
        <row r="1038">
          <cell r="A1038">
            <v>46074</v>
          </cell>
        </row>
        <row r="1039">
          <cell r="A1039">
            <v>46074</v>
          </cell>
        </row>
        <row r="1040">
          <cell r="A1040">
            <v>46075</v>
          </cell>
        </row>
        <row r="1041">
          <cell r="A1041">
            <v>46075</v>
          </cell>
        </row>
        <row r="1042">
          <cell r="A1042">
            <v>46075</v>
          </cell>
        </row>
        <row r="1043">
          <cell r="A1043">
            <v>46076</v>
          </cell>
        </row>
        <row r="1044">
          <cell r="A1044">
            <v>46076</v>
          </cell>
        </row>
        <row r="1045">
          <cell r="A1045">
            <v>46076</v>
          </cell>
        </row>
        <row r="1046">
          <cell r="A1046">
            <v>46077</v>
          </cell>
        </row>
        <row r="1047">
          <cell r="A1047">
            <v>46077</v>
          </cell>
        </row>
        <row r="1048">
          <cell r="A1048">
            <v>46077</v>
          </cell>
        </row>
        <row r="1049">
          <cell r="A1049">
            <v>46078</v>
          </cell>
        </row>
        <row r="1050">
          <cell r="A1050">
            <v>46078</v>
          </cell>
        </row>
        <row r="1051">
          <cell r="A1051">
            <v>46078</v>
          </cell>
        </row>
        <row r="1052">
          <cell r="A1052">
            <v>46078</v>
          </cell>
        </row>
        <row r="1053">
          <cell r="A1053">
            <v>46078</v>
          </cell>
        </row>
        <row r="1054">
          <cell r="A1054">
            <v>46078</v>
          </cell>
        </row>
        <row r="1055">
          <cell r="A1055">
            <v>46079</v>
          </cell>
        </row>
        <row r="1056">
          <cell r="A1056">
            <v>46079</v>
          </cell>
        </row>
        <row r="1057">
          <cell r="A1057">
            <v>46079</v>
          </cell>
        </row>
        <row r="1058">
          <cell r="A1058">
            <v>46080</v>
          </cell>
        </row>
        <row r="1059">
          <cell r="A1059">
            <v>46080</v>
          </cell>
        </row>
        <row r="1060">
          <cell r="A1060">
            <v>46080</v>
          </cell>
        </row>
        <row r="1061">
          <cell r="A1061">
            <v>46081</v>
          </cell>
        </row>
        <row r="1062">
          <cell r="A1062">
            <v>46081</v>
          </cell>
        </row>
        <row r="1063">
          <cell r="A1063">
            <v>46081</v>
          </cell>
        </row>
        <row r="1064">
          <cell r="A1064">
            <v>46082</v>
          </cell>
        </row>
        <row r="1065">
          <cell r="A1065">
            <v>46082</v>
          </cell>
        </row>
        <row r="1066">
          <cell r="A1066">
            <v>46082</v>
          </cell>
        </row>
        <row r="1067">
          <cell r="A1067">
            <v>46083</v>
          </cell>
        </row>
        <row r="1068">
          <cell r="A1068">
            <v>46083</v>
          </cell>
        </row>
        <row r="1069">
          <cell r="A1069">
            <v>46083</v>
          </cell>
        </row>
        <row r="1070">
          <cell r="A1070">
            <v>46083</v>
          </cell>
        </row>
        <row r="1071">
          <cell r="A1071">
            <v>46083</v>
          </cell>
        </row>
        <row r="1072">
          <cell r="A1072">
            <v>46083</v>
          </cell>
        </row>
        <row r="1073">
          <cell r="A1073">
            <v>46084</v>
          </cell>
        </row>
        <row r="1074">
          <cell r="A1074">
            <v>46084</v>
          </cell>
        </row>
        <row r="1075">
          <cell r="A1075">
            <v>46084</v>
          </cell>
        </row>
        <row r="1076">
          <cell r="A1076">
            <v>46084</v>
          </cell>
        </row>
        <row r="1077">
          <cell r="A1077">
            <v>46084</v>
          </cell>
        </row>
        <row r="1078">
          <cell r="A1078">
            <v>46084</v>
          </cell>
        </row>
        <row r="1079">
          <cell r="A1079">
            <v>46085</v>
          </cell>
        </row>
        <row r="1080">
          <cell r="A1080">
            <v>46085</v>
          </cell>
        </row>
        <row r="1081">
          <cell r="A1081">
            <v>46085</v>
          </cell>
        </row>
        <row r="1082">
          <cell r="A1082">
            <v>46085</v>
          </cell>
        </row>
        <row r="1083">
          <cell r="A1083">
            <v>46085</v>
          </cell>
        </row>
        <row r="1084">
          <cell r="A1084">
            <v>46085</v>
          </cell>
        </row>
        <row r="1085">
          <cell r="A1085">
            <v>46086</v>
          </cell>
        </row>
        <row r="1086">
          <cell r="A1086">
            <v>46086</v>
          </cell>
        </row>
        <row r="1087">
          <cell r="A1087">
            <v>46086</v>
          </cell>
        </row>
        <row r="1088">
          <cell r="A1088">
            <v>46087</v>
          </cell>
        </row>
        <row r="1089">
          <cell r="A1089">
            <v>46087</v>
          </cell>
        </row>
        <row r="1090">
          <cell r="A1090">
            <v>46087</v>
          </cell>
        </row>
        <row r="1091">
          <cell r="A1091">
            <v>46088</v>
          </cell>
        </row>
        <row r="1092">
          <cell r="A1092">
            <v>46088</v>
          </cell>
        </row>
        <row r="1093">
          <cell r="A1093">
            <v>46088</v>
          </cell>
        </row>
        <row r="1094">
          <cell r="A1094">
            <v>46089</v>
          </cell>
        </row>
        <row r="1095">
          <cell r="A1095">
            <v>46089</v>
          </cell>
        </row>
        <row r="1096">
          <cell r="A1096">
            <v>46089</v>
          </cell>
        </row>
        <row r="1097">
          <cell r="A1097">
            <v>46090</v>
          </cell>
        </row>
        <row r="1098">
          <cell r="A1098">
            <v>46090</v>
          </cell>
        </row>
        <row r="1099">
          <cell r="A1099">
            <v>46090</v>
          </cell>
        </row>
        <row r="1100">
          <cell r="A1100">
            <v>46090</v>
          </cell>
        </row>
        <row r="1101">
          <cell r="A1101">
            <v>46090</v>
          </cell>
        </row>
        <row r="1102">
          <cell r="A1102">
            <v>46090</v>
          </cell>
        </row>
        <row r="1103">
          <cell r="A1103">
            <v>46091</v>
          </cell>
        </row>
        <row r="1104">
          <cell r="A1104">
            <v>46091</v>
          </cell>
        </row>
        <row r="1105">
          <cell r="A1105">
            <v>46091</v>
          </cell>
        </row>
        <row r="1106">
          <cell r="A1106">
            <v>46092</v>
          </cell>
        </row>
        <row r="1107">
          <cell r="A1107">
            <v>46092</v>
          </cell>
        </row>
        <row r="1108">
          <cell r="A1108">
            <v>46092</v>
          </cell>
        </row>
        <row r="1109">
          <cell r="A1109">
            <v>46093</v>
          </cell>
        </row>
        <row r="1110">
          <cell r="A1110">
            <v>46093</v>
          </cell>
        </row>
        <row r="1111">
          <cell r="A1111">
            <v>46093</v>
          </cell>
        </row>
        <row r="1112">
          <cell r="A1112">
            <v>46093</v>
          </cell>
        </row>
        <row r="1113">
          <cell r="A1113">
            <v>46093</v>
          </cell>
        </row>
        <row r="1114">
          <cell r="A1114">
            <v>46093</v>
          </cell>
        </row>
        <row r="1115">
          <cell r="A1115">
            <v>46093</v>
          </cell>
        </row>
        <row r="1116">
          <cell r="A1116">
            <v>46093</v>
          </cell>
        </row>
        <row r="1117">
          <cell r="A1117">
            <v>46093</v>
          </cell>
        </row>
        <row r="1118">
          <cell r="A1118">
            <v>46094</v>
          </cell>
        </row>
        <row r="1119">
          <cell r="A1119">
            <v>46094</v>
          </cell>
        </row>
        <row r="1120">
          <cell r="A1120">
            <v>46094</v>
          </cell>
        </row>
        <row r="1121">
          <cell r="A1121">
            <v>46095</v>
          </cell>
        </row>
        <row r="1122">
          <cell r="A1122">
            <v>46095</v>
          </cell>
        </row>
        <row r="1123">
          <cell r="A1123">
            <v>46095</v>
          </cell>
        </row>
        <row r="1124">
          <cell r="A1124">
            <v>46096</v>
          </cell>
        </row>
        <row r="1125">
          <cell r="A1125">
            <v>46096</v>
          </cell>
        </row>
        <row r="1126">
          <cell r="A1126">
            <v>46096</v>
          </cell>
        </row>
        <row r="1127">
          <cell r="A1127">
            <v>46097</v>
          </cell>
        </row>
        <row r="1128">
          <cell r="A1128">
            <v>46097</v>
          </cell>
        </row>
        <row r="1129">
          <cell r="A1129">
            <v>46097</v>
          </cell>
        </row>
        <row r="1130">
          <cell r="A1130">
            <v>46098</v>
          </cell>
        </row>
        <row r="1131">
          <cell r="A1131">
            <v>46098</v>
          </cell>
        </row>
        <row r="1132">
          <cell r="A1132">
            <v>46098</v>
          </cell>
        </row>
        <row r="1133">
          <cell r="A1133">
            <v>46098</v>
          </cell>
        </row>
        <row r="1134">
          <cell r="A1134">
            <v>46098</v>
          </cell>
        </row>
        <row r="1135">
          <cell r="A1135">
            <v>46098</v>
          </cell>
        </row>
        <row r="1136">
          <cell r="A1136">
            <v>46099</v>
          </cell>
        </row>
        <row r="1137">
          <cell r="A1137">
            <v>46099</v>
          </cell>
        </row>
        <row r="1138">
          <cell r="A1138">
            <v>46099</v>
          </cell>
        </row>
        <row r="1139">
          <cell r="A1139">
            <v>46100</v>
          </cell>
        </row>
        <row r="1140">
          <cell r="A1140">
            <v>46100</v>
          </cell>
        </row>
        <row r="1141">
          <cell r="A1141">
            <v>46100</v>
          </cell>
        </row>
        <row r="1142">
          <cell r="A1142">
            <v>46101</v>
          </cell>
        </row>
        <row r="1143">
          <cell r="A1143">
            <v>46101</v>
          </cell>
        </row>
        <row r="1144">
          <cell r="A1144">
            <v>46101</v>
          </cell>
        </row>
        <row r="1145">
          <cell r="A1145">
            <v>46101</v>
          </cell>
        </row>
        <row r="1146">
          <cell r="A1146">
            <v>46101</v>
          </cell>
        </row>
        <row r="1147">
          <cell r="A1147">
            <v>46101</v>
          </cell>
        </row>
        <row r="1148">
          <cell r="A1148">
            <v>46102</v>
          </cell>
        </row>
        <row r="1149">
          <cell r="A1149">
            <v>46102</v>
          </cell>
        </row>
        <row r="1150">
          <cell r="A1150">
            <v>46102</v>
          </cell>
        </row>
        <row r="1151">
          <cell r="A1151">
            <v>46102</v>
          </cell>
        </row>
        <row r="1152">
          <cell r="A1152">
            <v>46102</v>
          </cell>
        </row>
        <row r="1153">
          <cell r="A1153">
            <v>46102</v>
          </cell>
        </row>
        <row r="1154">
          <cell r="A1154">
            <v>46104</v>
          </cell>
        </row>
        <row r="1155">
          <cell r="A1155">
            <v>46104</v>
          </cell>
        </row>
        <row r="1156">
          <cell r="A1156">
            <v>46104</v>
          </cell>
        </row>
        <row r="1157">
          <cell r="A1157">
            <v>46104</v>
          </cell>
        </row>
        <row r="1158">
          <cell r="A1158">
            <v>46104</v>
          </cell>
        </row>
        <row r="1159">
          <cell r="A1159">
            <v>46104</v>
          </cell>
        </row>
        <row r="1160">
          <cell r="A1160">
            <v>46105</v>
          </cell>
        </row>
        <row r="1161">
          <cell r="A1161">
            <v>46105</v>
          </cell>
        </row>
        <row r="1162">
          <cell r="A1162">
            <v>46105</v>
          </cell>
        </row>
        <row r="1163">
          <cell r="A1163">
            <v>46105</v>
          </cell>
        </row>
        <row r="1164">
          <cell r="A1164">
            <v>46105</v>
          </cell>
        </row>
        <row r="1165">
          <cell r="A1165">
            <v>46105</v>
          </cell>
        </row>
        <row r="1166">
          <cell r="A1166">
            <v>46106</v>
          </cell>
        </row>
        <row r="1167">
          <cell r="A1167">
            <v>46106</v>
          </cell>
        </row>
        <row r="1168">
          <cell r="A1168">
            <v>46106</v>
          </cell>
        </row>
        <row r="1169">
          <cell r="A1169">
            <v>46106</v>
          </cell>
        </row>
        <row r="1170">
          <cell r="A1170">
            <v>46106</v>
          </cell>
        </row>
        <row r="1171">
          <cell r="A1171">
            <v>46106</v>
          </cell>
        </row>
        <row r="1172">
          <cell r="A1172">
            <v>46106</v>
          </cell>
        </row>
        <row r="1173">
          <cell r="A1173">
            <v>46106</v>
          </cell>
        </row>
        <row r="1174">
          <cell r="A1174">
            <v>46106</v>
          </cell>
        </row>
        <row r="1175">
          <cell r="A1175">
            <v>46107</v>
          </cell>
        </row>
        <row r="1176">
          <cell r="A1176">
            <v>46107</v>
          </cell>
        </row>
        <row r="1177">
          <cell r="A1177">
            <v>46107</v>
          </cell>
        </row>
        <row r="1178">
          <cell r="A1178">
            <v>46107</v>
          </cell>
        </row>
        <row r="1179">
          <cell r="A1179">
            <v>46107</v>
          </cell>
        </row>
        <row r="1180">
          <cell r="A1180">
            <v>46107</v>
          </cell>
        </row>
        <row r="1181">
          <cell r="A1181">
            <v>46108</v>
          </cell>
        </row>
        <row r="1182">
          <cell r="A1182">
            <v>46108</v>
          </cell>
        </row>
        <row r="1183">
          <cell r="A1183">
            <v>46108</v>
          </cell>
        </row>
        <row r="1184">
          <cell r="A1184">
            <v>46109</v>
          </cell>
        </row>
        <row r="1185">
          <cell r="A1185">
            <v>46109</v>
          </cell>
        </row>
        <row r="1186">
          <cell r="A1186">
            <v>46109</v>
          </cell>
        </row>
        <row r="1187">
          <cell r="A1187">
            <v>46110</v>
          </cell>
        </row>
        <row r="1188">
          <cell r="A1188">
            <v>46110</v>
          </cell>
        </row>
        <row r="1189">
          <cell r="A1189">
            <v>46110</v>
          </cell>
        </row>
        <row r="1190">
          <cell r="A1190">
            <v>46111</v>
          </cell>
        </row>
        <row r="1191">
          <cell r="A1191">
            <v>46111</v>
          </cell>
        </row>
        <row r="1192">
          <cell r="A1192">
            <v>46111</v>
          </cell>
        </row>
        <row r="1193">
          <cell r="A1193">
            <v>46112</v>
          </cell>
        </row>
        <row r="1194">
          <cell r="A1194">
            <v>46112</v>
          </cell>
        </row>
        <row r="1195">
          <cell r="A1195">
            <v>46112</v>
          </cell>
        </row>
        <row r="1196">
          <cell r="A1196">
            <v>46112</v>
          </cell>
        </row>
        <row r="1197">
          <cell r="A1197">
            <v>46112</v>
          </cell>
        </row>
        <row r="1198">
          <cell r="A1198">
            <v>46112</v>
          </cell>
        </row>
        <row r="1199">
          <cell r="A1199">
            <v>46113</v>
          </cell>
        </row>
        <row r="1200">
          <cell r="A1200">
            <v>46113</v>
          </cell>
        </row>
        <row r="1201">
          <cell r="A1201">
            <v>46113</v>
          </cell>
        </row>
        <row r="1202">
          <cell r="A1202">
            <v>46113</v>
          </cell>
        </row>
        <row r="1203">
          <cell r="A1203">
            <v>46113</v>
          </cell>
        </row>
        <row r="1204">
          <cell r="A1204">
            <v>46113</v>
          </cell>
        </row>
        <row r="1205">
          <cell r="A1205">
            <v>46114</v>
          </cell>
        </row>
        <row r="1206">
          <cell r="A1206">
            <v>46114</v>
          </cell>
        </row>
        <row r="1207">
          <cell r="A1207">
            <v>46114</v>
          </cell>
        </row>
        <row r="1208">
          <cell r="A1208">
            <v>46114</v>
          </cell>
        </row>
        <row r="1209">
          <cell r="A1209">
            <v>46114</v>
          </cell>
        </row>
        <row r="1210">
          <cell r="A1210">
            <v>46114</v>
          </cell>
        </row>
        <row r="1211">
          <cell r="A1211">
            <v>46115</v>
          </cell>
        </row>
        <row r="1212">
          <cell r="A1212">
            <v>46115</v>
          </cell>
        </row>
        <row r="1213">
          <cell r="A1213">
            <v>46115</v>
          </cell>
        </row>
        <row r="1214">
          <cell r="A1214">
            <v>46116</v>
          </cell>
        </row>
        <row r="1215">
          <cell r="A1215">
            <v>46116</v>
          </cell>
        </row>
        <row r="1216">
          <cell r="A1216">
            <v>46116</v>
          </cell>
        </row>
        <row r="1217">
          <cell r="A1217">
            <v>46117</v>
          </cell>
        </row>
        <row r="1218">
          <cell r="A1218">
            <v>46117</v>
          </cell>
        </row>
        <row r="1219">
          <cell r="A1219">
            <v>46117</v>
          </cell>
        </row>
        <row r="1220">
          <cell r="A1220">
            <v>46118</v>
          </cell>
        </row>
        <row r="1221">
          <cell r="A1221">
            <v>46118</v>
          </cell>
        </row>
        <row r="1222">
          <cell r="A1222">
            <v>46118</v>
          </cell>
        </row>
        <row r="1223">
          <cell r="A1223">
            <v>46119</v>
          </cell>
        </row>
        <row r="1224">
          <cell r="A1224">
            <v>46119</v>
          </cell>
        </row>
        <row r="1225">
          <cell r="A1225">
            <v>46119</v>
          </cell>
        </row>
        <row r="1226">
          <cell r="A1226">
            <v>46120</v>
          </cell>
        </row>
        <row r="1227">
          <cell r="A1227">
            <v>46120</v>
          </cell>
        </row>
        <row r="1228">
          <cell r="A1228">
            <v>46120</v>
          </cell>
        </row>
        <row r="1229">
          <cell r="A1229">
            <v>46120</v>
          </cell>
        </row>
        <row r="1230">
          <cell r="A1230">
            <v>46120</v>
          </cell>
        </row>
        <row r="1231">
          <cell r="A1231">
            <v>46120</v>
          </cell>
        </row>
        <row r="1232">
          <cell r="A1232">
            <v>46121</v>
          </cell>
        </row>
        <row r="1233">
          <cell r="A1233">
            <v>46121</v>
          </cell>
        </row>
        <row r="1234">
          <cell r="A1234">
            <v>46121</v>
          </cell>
        </row>
        <row r="1235">
          <cell r="A1235">
            <v>46122</v>
          </cell>
        </row>
        <row r="1236">
          <cell r="A1236">
            <v>46122</v>
          </cell>
        </row>
        <row r="1237">
          <cell r="A1237">
            <v>46122</v>
          </cell>
        </row>
        <row r="1238">
          <cell r="A1238">
            <v>46123</v>
          </cell>
        </row>
        <row r="1239">
          <cell r="A1239">
            <v>46123</v>
          </cell>
        </row>
        <row r="1240">
          <cell r="A1240">
            <v>46123</v>
          </cell>
        </row>
        <row r="1241">
          <cell r="A1241">
            <v>46124</v>
          </cell>
        </row>
        <row r="1242">
          <cell r="A1242">
            <v>46124</v>
          </cell>
        </row>
        <row r="1243">
          <cell r="A1243">
            <v>46124</v>
          </cell>
        </row>
        <row r="1244">
          <cell r="A1244">
            <v>46125</v>
          </cell>
        </row>
        <row r="1245">
          <cell r="A1245">
            <v>46125</v>
          </cell>
        </row>
        <row r="1246">
          <cell r="A1246">
            <v>46125</v>
          </cell>
        </row>
        <row r="1247">
          <cell r="A1247">
            <v>46126</v>
          </cell>
        </row>
        <row r="1248">
          <cell r="A1248">
            <v>46126</v>
          </cell>
        </row>
        <row r="1249">
          <cell r="A1249">
            <v>46126</v>
          </cell>
        </row>
        <row r="1250">
          <cell r="A1250">
            <v>46127</v>
          </cell>
        </row>
        <row r="1251">
          <cell r="A1251">
            <v>46127</v>
          </cell>
        </row>
        <row r="1252">
          <cell r="A1252">
            <v>46127</v>
          </cell>
        </row>
        <row r="1253">
          <cell r="A1253">
            <v>46128</v>
          </cell>
        </row>
        <row r="1254">
          <cell r="A1254">
            <v>46128</v>
          </cell>
        </row>
        <row r="1255">
          <cell r="A1255">
            <v>46128</v>
          </cell>
        </row>
        <row r="1256">
          <cell r="A1256">
            <v>46129</v>
          </cell>
        </row>
        <row r="1257">
          <cell r="A1257">
            <v>46129</v>
          </cell>
        </row>
        <row r="1258">
          <cell r="A1258">
            <v>46129</v>
          </cell>
        </row>
        <row r="1259">
          <cell r="A1259">
            <v>46130</v>
          </cell>
        </row>
        <row r="1260">
          <cell r="A1260">
            <v>46130</v>
          </cell>
        </row>
        <row r="1261">
          <cell r="A1261">
            <v>46130</v>
          </cell>
        </row>
        <row r="1262">
          <cell r="A1262">
            <v>46131</v>
          </cell>
        </row>
        <row r="1263">
          <cell r="A1263">
            <v>46131</v>
          </cell>
        </row>
        <row r="1264">
          <cell r="A1264">
            <v>46131</v>
          </cell>
        </row>
        <row r="1265">
          <cell r="A1265">
            <v>46132</v>
          </cell>
        </row>
        <row r="1266">
          <cell r="A1266">
            <v>46132</v>
          </cell>
        </row>
        <row r="1267">
          <cell r="A1267">
            <v>46132</v>
          </cell>
        </row>
        <row r="1268">
          <cell r="A1268">
            <v>46133</v>
          </cell>
        </row>
        <row r="1269">
          <cell r="A1269">
            <v>46133</v>
          </cell>
        </row>
        <row r="1270">
          <cell r="A1270">
            <v>46133</v>
          </cell>
        </row>
        <row r="1271">
          <cell r="A1271">
            <v>46134</v>
          </cell>
        </row>
        <row r="1272">
          <cell r="A1272">
            <v>46134</v>
          </cell>
        </row>
        <row r="1273">
          <cell r="A1273">
            <v>46134</v>
          </cell>
        </row>
        <row r="1274">
          <cell r="A1274">
            <v>46137</v>
          </cell>
        </row>
        <row r="1275">
          <cell r="A1275">
            <v>46137</v>
          </cell>
        </row>
        <row r="1276">
          <cell r="A1276">
            <v>46137</v>
          </cell>
        </row>
        <row r="1277">
          <cell r="A1277">
            <v>46140</v>
          </cell>
        </row>
        <row r="1278">
          <cell r="A1278">
            <v>46140</v>
          </cell>
        </row>
        <row r="1279">
          <cell r="A1279">
            <v>46140</v>
          </cell>
        </row>
        <row r="1280">
          <cell r="A1280">
            <v>46141</v>
          </cell>
        </row>
        <row r="1281">
          <cell r="A1281">
            <v>46141</v>
          </cell>
        </row>
        <row r="1282">
          <cell r="A1282">
            <v>46141</v>
          </cell>
        </row>
      </sheetData>
      <sheetData sheetId="13"/>
      <sheetData sheetId="14"/>
      <sheetData sheetId="15"/>
      <sheetData sheetId="16">
        <row r="2">
          <cell r="A2">
            <v>45659</v>
          </cell>
        </row>
      </sheetData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ql5.com/en/articles/5669" TargetMode="External"/><Relationship Id="rId13" Type="http://schemas.openxmlformats.org/officeDocument/2006/relationships/hyperlink" Target="https://www.mql5.com/en/users/artmedia70" TargetMode="External"/><Relationship Id="rId18" Type="http://schemas.openxmlformats.org/officeDocument/2006/relationships/hyperlink" Target="https://www.mql5.com/en/users/artmedia70" TargetMode="External"/><Relationship Id="rId26" Type="http://schemas.openxmlformats.org/officeDocument/2006/relationships/hyperlink" Target="https://www.mql5.com/en/articles/7041" TargetMode="External"/><Relationship Id="rId3" Type="http://schemas.openxmlformats.org/officeDocument/2006/relationships/hyperlink" Target="../../../../../../../Microsoft/Excel/Artyom%20Trishkin" TargetMode="External"/><Relationship Id="rId21" Type="http://schemas.openxmlformats.org/officeDocument/2006/relationships/hyperlink" Target="https://www.mql5.com/en/users/artmedia70" TargetMode="External"/><Relationship Id="rId34" Type="http://schemas.openxmlformats.org/officeDocument/2006/relationships/hyperlink" Target="https://www.mql5.com/en/code/63971" TargetMode="External"/><Relationship Id="rId7" Type="http://schemas.openxmlformats.org/officeDocument/2006/relationships/hyperlink" Target="https://www.mql5.com/en/users/artmedia70" TargetMode="External"/><Relationship Id="rId12" Type="http://schemas.openxmlformats.org/officeDocument/2006/relationships/hyperlink" Target="https://www.mql5.com/en/articles/5724" TargetMode="External"/><Relationship Id="rId17" Type="http://schemas.openxmlformats.org/officeDocument/2006/relationships/hyperlink" Target="https://www.mql5.com/en/users/artmedia70" TargetMode="External"/><Relationship Id="rId25" Type="http://schemas.openxmlformats.org/officeDocument/2006/relationships/hyperlink" Target="https://www.mql5.com/en/users/artmedia70" TargetMode="External"/><Relationship Id="rId33" Type="http://schemas.openxmlformats.org/officeDocument/2006/relationships/hyperlink" Target="https://www.mql5.com/en/users/artmedia70" TargetMode="External"/><Relationship Id="rId38" Type="http://schemas.openxmlformats.org/officeDocument/2006/relationships/printerSettings" Target="../printerSettings/printerSettings5.bin"/><Relationship Id="rId2" Type="http://schemas.openxmlformats.org/officeDocument/2006/relationships/hyperlink" Target="../../../../../../../Microsoft/Excel/Hezekiah%20Bukola%20Oyetunde" TargetMode="External"/><Relationship Id="rId16" Type="http://schemas.openxmlformats.org/officeDocument/2006/relationships/hyperlink" Target="https://www.mql5.com/en/articles/6482" TargetMode="External"/><Relationship Id="rId20" Type="http://schemas.openxmlformats.org/officeDocument/2006/relationships/hyperlink" Target="https://www.mql5.com/en/articles/6952" TargetMode="External"/><Relationship Id="rId29" Type="http://schemas.openxmlformats.org/officeDocument/2006/relationships/hyperlink" Target="https://www.mql5.com/en/users/artmedia70" TargetMode="External"/><Relationship Id="rId1" Type="http://schemas.openxmlformats.org/officeDocument/2006/relationships/hyperlink" Target="https://www.mql5.com/en/code/67011" TargetMode="External"/><Relationship Id="rId6" Type="http://schemas.openxmlformats.org/officeDocument/2006/relationships/hyperlink" Target="https://www.mql5.com/en/articles/5654" TargetMode="External"/><Relationship Id="rId11" Type="http://schemas.openxmlformats.org/officeDocument/2006/relationships/hyperlink" Target="https://www.mql5.com/en/users/artmedia70" TargetMode="External"/><Relationship Id="rId24" Type="http://schemas.openxmlformats.org/officeDocument/2006/relationships/hyperlink" Target="https://www.mql5.com/en/articles/7014" TargetMode="External"/><Relationship Id="rId32" Type="http://schemas.openxmlformats.org/officeDocument/2006/relationships/hyperlink" Target="https://www.mql5.com/en/articles/7594" TargetMode="External"/><Relationship Id="rId37" Type="http://schemas.openxmlformats.org/officeDocument/2006/relationships/hyperlink" Target="https://www.mql5.com/en/articles/14278" TargetMode="External"/><Relationship Id="rId5" Type="http://schemas.openxmlformats.org/officeDocument/2006/relationships/hyperlink" Target="https://www.mql5.com/en/articles/10663" TargetMode="External"/><Relationship Id="rId15" Type="http://schemas.openxmlformats.org/officeDocument/2006/relationships/hyperlink" Target="https://www.mql5.com/en/users/artmedia70" TargetMode="External"/><Relationship Id="rId23" Type="http://schemas.openxmlformats.org/officeDocument/2006/relationships/hyperlink" Target="https://www.mql5.com/en/users/artmedia70" TargetMode="External"/><Relationship Id="rId28" Type="http://schemas.openxmlformats.org/officeDocument/2006/relationships/hyperlink" Target="https://www.mql5.com/en/articles/7149" TargetMode="External"/><Relationship Id="rId36" Type="http://schemas.openxmlformats.org/officeDocument/2006/relationships/hyperlink" Target="https://www.mql5.com/en/users/artmedia70" TargetMode="External"/><Relationship Id="rId10" Type="http://schemas.openxmlformats.org/officeDocument/2006/relationships/hyperlink" Target="https://www.mql5.com/en/articles/5687" TargetMode="External"/><Relationship Id="rId19" Type="http://schemas.openxmlformats.org/officeDocument/2006/relationships/hyperlink" Target="https://www.mql5.com/en/articles/6595" TargetMode="External"/><Relationship Id="rId31" Type="http://schemas.openxmlformats.org/officeDocument/2006/relationships/hyperlink" Target="https://www.mql5.com/en/users/artmedia70" TargetMode="External"/><Relationship Id="rId4" Type="http://schemas.openxmlformats.org/officeDocument/2006/relationships/hyperlink" Target="https://www.mql5.com/en/users/artmedia70" TargetMode="External"/><Relationship Id="rId9" Type="http://schemas.openxmlformats.org/officeDocument/2006/relationships/hyperlink" Target="https://www.mql5.com/en/users/artmedia70" TargetMode="External"/><Relationship Id="rId14" Type="http://schemas.openxmlformats.org/officeDocument/2006/relationships/hyperlink" Target="https://www.mql5.com/en/articles/6211" TargetMode="External"/><Relationship Id="rId22" Type="http://schemas.openxmlformats.org/officeDocument/2006/relationships/hyperlink" Target="https://www.mql5.com/en/articles/6995" TargetMode="External"/><Relationship Id="rId27" Type="http://schemas.openxmlformats.org/officeDocument/2006/relationships/hyperlink" Target="https://www.mql5.com/en/users/artmedia70" TargetMode="External"/><Relationship Id="rId30" Type="http://schemas.openxmlformats.org/officeDocument/2006/relationships/hyperlink" Target="https://www.mql5.com/en/articles/7258" TargetMode="External"/><Relationship Id="rId35" Type="http://schemas.openxmlformats.org/officeDocument/2006/relationships/hyperlink" Target="https://www.mql5.com/en/users/artmedia70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5D6-8553-4A65-8DE8-F2E4E52716D9}">
  <sheetPr codeName="Sheet6"/>
  <dimension ref="B1:D10"/>
  <sheetViews>
    <sheetView zoomScale="115" zoomScaleNormal="115" workbookViewId="0">
      <selection activeCell="D10" sqref="D10"/>
    </sheetView>
  </sheetViews>
  <sheetFormatPr defaultRowHeight="14.4" x14ac:dyDescent="0.3"/>
  <cols>
    <col min="2" max="2" width="2" style="12" bestFit="1" customWidth="1"/>
    <col min="3" max="3" width="8.6640625" style="12" bestFit="1" customWidth="1"/>
    <col min="4" max="4" width="52.109375" style="12" customWidth="1"/>
  </cols>
  <sheetData>
    <row r="1" spans="2:4" x14ac:dyDescent="0.3">
      <c r="D1" s="13" t="s">
        <v>119</v>
      </c>
    </row>
    <row r="3" spans="2:4" ht="43.2" x14ac:dyDescent="0.3">
      <c r="B3" s="12">
        <v>1</v>
      </c>
      <c r="C3" s="12" t="s">
        <v>42</v>
      </c>
      <c r="D3" s="10" t="s">
        <v>1700</v>
      </c>
    </row>
    <row r="5" spans="2:4" x14ac:dyDescent="0.3">
      <c r="B5" s="12">
        <v>2</v>
      </c>
      <c r="C5" s="12" t="s">
        <v>110</v>
      </c>
      <c r="D5" s="13" t="s">
        <v>141</v>
      </c>
    </row>
    <row r="8" spans="2:4" x14ac:dyDescent="0.3">
      <c r="B8" s="12">
        <v>3</v>
      </c>
      <c r="C8" s="12" t="s">
        <v>109</v>
      </c>
      <c r="D8" s="16" t="s">
        <v>111</v>
      </c>
    </row>
    <row r="10" spans="2:4" ht="57.6" x14ac:dyDescent="0.3">
      <c r="B10" s="12">
        <v>4</v>
      </c>
      <c r="C10" s="12" t="s">
        <v>44</v>
      </c>
      <c r="D10" s="10" t="s">
        <v>1701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B942-47AE-4618-93CD-A73BD9893E8E}">
  <sheetPr codeName="Sheet9">
    <tabColor rgb="FFFFFF00"/>
  </sheetPr>
  <dimension ref="A1:C10"/>
  <sheetViews>
    <sheetView workbookViewId="0">
      <selection activeCell="B6" sqref="B6"/>
    </sheetView>
  </sheetViews>
  <sheetFormatPr defaultRowHeight="14.4" x14ac:dyDescent="0.3"/>
  <cols>
    <col min="1" max="1" width="3.88671875" bestFit="1" customWidth="1"/>
    <col min="2" max="2" width="56.44140625" style="15" bestFit="1" customWidth="1"/>
  </cols>
  <sheetData>
    <row r="1" spans="1:3" x14ac:dyDescent="0.3">
      <c r="A1" s="9" t="s">
        <v>13</v>
      </c>
      <c r="B1" s="14" t="s">
        <v>100</v>
      </c>
      <c r="C1" s="9"/>
    </row>
    <row r="2" spans="1:3" x14ac:dyDescent="0.3">
      <c r="A2">
        <v>1</v>
      </c>
      <c r="B2" s="15" t="s">
        <v>143</v>
      </c>
    </row>
    <row r="3" spans="1:3" x14ac:dyDescent="0.3">
      <c r="A3">
        <v>2</v>
      </c>
      <c r="B3" s="15" t="s">
        <v>149</v>
      </c>
    </row>
    <row r="4" spans="1:3" x14ac:dyDescent="0.3">
      <c r="A4">
        <v>3</v>
      </c>
      <c r="B4" s="15" t="s">
        <v>144</v>
      </c>
    </row>
    <row r="5" spans="1:3" x14ac:dyDescent="0.3">
      <c r="A5">
        <v>4</v>
      </c>
      <c r="B5" s="15" t="s">
        <v>150</v>
      </c>
    </row>
    <row r="6" spans="1:3" x14ac:dyDescent="0.3">
      <c r="A6">
        <v>5</v>
      </c>
      <c r="B6" s="15" t="s">
        <v>145</v>
      </c>
    </row>
    <row r="7" spans="1:3" x14ac:dyDescent="0.3">
      <c r="A7">
        <v>6</v>
      </c>
      <c r="B7" s="15" t="s">
        <v>146</v>
      </c>
    </row>
    <row r="8" spans="1:3" x14ac:dyDescent="0.3">
      <c r="A8">
        <v>7</v>
      </c>
      <c r="B8" s="15" t="s">
        <v>147</v>
      </c>
    </row>
    <row r="9" spans="1:3" x14ac:dyDescent="0.3">
      <c r="A9">
        <v>8</v>
      </c>
      <c r="B9" s="15" t="s">
        <v>148</v>
      </c>
    </row>
    <row r="10" spans="1:3" x14ac:dyDescent="0.3">
      <c r="A10">
        <v>9</v>
      </c>
      <c r="B10" s="15" t="s">
        <v>151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E7B6-A704-4366-86E5-B86C1F928EEE}">
  <sheetPr codeName="Sheet7">
    <tabColor rgb="FFFFFF00"/>
  </sheetPr>
  <dimension ref="A1:D302"/>
  <sheetViews>
    <sheetView workbookViewId="0">
      <selection activeCell="D6" sqref="D6"/>
    </sheetView>
  </sheetViews>
  <sheetFormatPr defaultRowHeight="14.4" x14ac:dyDescent="0.3"/>
  <cols>
    <col min="1" max="1" width="3.88671875" bestFit="1" customWidth="1"/>
    <col min="2" max="2" width="64.33203125" bestFit="1" customWidth="1"/>
    <col min="3" max="3" width="22.44140625" bestFit="1" customWidth="1"/>
    <col min="4" max="4" width="122.8867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  <c r="D1" s="9" t="s">
        <v>109</v>
      </c>
    </row>
    <row r="2" spans="1:4" x14ac:dyDescent="0.3">
      <c r="A2">
        <v>1</v>
      </c>
      <c r="B2" t="s">
        <v>197</v>
      </c>
      <c r="C2" t="s">
        <v>198</v>
      </c>
      <c r="D2" t="s">
        <v>199</v>
      </c>
    </row>
    <row r="3" spans="1:4" x14ac:dyDescent="0.3">
      <c r="A3">
        <v>2</v>
      </c>
      <c r="B3" t="s">
        <v>197</v>
      </c>
      <c r="C3" t="s">
        <v>200</v>
      </c>
      <c r="D3" t="s">
        <v>201</v>
      </c>
    </row>
    <row r="4" spans="1:4" x14ac:dyDescent="0.3">
      <c r="A4">
        <v>3</v>
      </c>
      <c r="B4" t="s">
        <v>197</v>
      </c>
      <c r="C4" t="s">
        <v>202</v>
      </c>
      <c r="D4" t="s">
        <v>203</v>
      </c>
    </row>
    <row r="5" spans="1:4" x14ac:dyDescent="0.3">
      <c r="A5">
        <v>4</v>
      </c>
      <c r="B5" t="s">
        <v>197</v>
      </c>
      <c r="C5" t="s">
        <v>204</v>
      </c>
      <c r="D5" t="s">
        <v>205</v>
      </c>
    </row>
    <row r="6" spans="1:4" x14ac:dyDescent="0.3">
      <c r="A6">
        <v>5</v>
      </c>
      <c r="B6" t="s">
        <v>197</v>
      </c>
      <c r="C6" t="s">
        <v>206</v>
      </c>
      <c r="D6" t="s">
        <v>207</v>
      </c>
    </row>
    <row r="7" spans="1:4" x14ac:dyDescent="0.3">
      <c r="A7">
        <v>6</v>
      </c>
      <c r="B7" t="s">
        <v>197</v>
      </c>
      <c r="C7" t="s">
        <v>208</v>
      </c>
      <c r="D7" t="s">
        <v>209</v>
      </c>
    </row>
    <row r="8" spans="1:4" x14ac:dyDescent="0.3">
      <c r="A8">
        <v>7</v>
      </c>
      <c r="B8" t="s">
        <v>197</v>
      </c>
      <c r="C8" t="s">
        <v>210</v>
      </c>
      <c r="D8" t="s">
        <v>211</v>
      </c>
    </row>
    <row r="9" spans="1:4" x14ac:dyDescent="0.3">
      <c r="A9">
        <v>8</v>
      </c>
      <c r="B9" t="s">
        <v>197</v>
      </c>
      <c r="C9" t="s">
        <v>212</v>
      </c>
      <c r="D9" t="s">
        <v>213</v>
      </c>
    </row>
    <row r="10" spans="1:4" x14ac:dyDescent="0.3">
      <c r="A10">
        <v>9</v>
      </c>
      <c r="B10" t="s">
        <v>197</v>
      </c>
      <c r="C10" t="s">
        <v>214</v>
      </c>
      <c r="D10" t="s">
        <v>215</v>
      </c>
    </row>
    <row r="11" spans="1:4" x14ac:dyDescent="0.3">
      <c r="A11">
        <v>10</v>
      </c>
      <c r="B11" t="s">
        <v>197</v>
      </c>
      <c r="C11" t="s">
        <v>196</v>
      </c>
      <c r="D11" t="s">
        <v>216</v>
      </c>
    </row>
    <row r="12" spans="1:4" x14ac:dyDescent="0.3">
      <c r="A12">
        <v>11</v>
      </c>
      <c r="B12" t="s">
        <v>197</v>
      </c>
      <c r="C12" t="s">
        <v>217</v>
      </c>
      <c r="D12" t="s">
        <v>218</v>
      </c>
    </row>
    <row r="13" spans="1:4" x14ac:dyDescent="0.3">
      <c r="A13">
        <v>12</v>
      </c>
      <c r="B13" t="s">
        <v>219</v>
      </c>
      <c r="C13" t="s">
        <v>185</v>
      </c>
      <c r="D13" t="s">
        <v>220</v>
      </c>
    </row>
    <row r="14" spans="1:4" x14ac:dyDescent="0.3">
      <c r="A14">
        <v>13</v>
      </c>
      <c r="B14" t="s">
        <v>219</v>
      </c>
      <c r="C14" t="s">
        <v>186</v>
      </c>
      <c r="D14" t="s">
        <v>221</v>
      </c>
    </row>
    <row r="15" spans="1:4" x14ac:dyDescent="0.3">
      <c r="A15">
        <v>14</v>
      </c>
      <c r="B15" t="s">
        <v>219</v>
      </c>
      <c r="C15" t="s">
        <v>187</v>
      </c>
      <c r="D15" t="s">
        <v>222</v>
      </c>
    </row>
    <row r="16" spans="1:4" x14ac:dyDescent="0.3">
      <c r="A16">
        <v>15</v>
      </c>
      <c r="B16" t="s">
        <v>219</v>
      </c>
      <c r="C16" t="s">
        <v>223</v>
      </c>
      <c r="D16" t="s">
        <v>224</v>
      </c>
    </row>
    <row r="17" spans="1:4" x14ac:dyDescent="0.3">
      <c r="A17">
        <v>16</v>
      </c>
      <c r="B17" t="s">
        <v>219</v>
      </c>
      <c r="C17" t="s">
        <v>188</v>
      </c>
      <c r="D17" t="s">
        <v>225</v>
      </c>
    </row>
    <row r="18" spans="1:4" x14ac:dyDescent="0.3">
      <c r="A18">
        <v>17</v>
      </c>
      <c r="B18" t="s">
        <v>219</v>
      </c>
      <c r="C18" t="s">
        <v>226</v>
      </c>
      <c r="D18" t="s">
        <v>227</v>
      </c>
    </row>
    <row r="19" spans="1:4" x14ac:dyDescent="0.3">
      <c r="A19">
        <v>18</v>
      </c>
      <c r="B19" t="s">
        <v>219</v>
      </c>
      <c r="C19" t="s">
        <v>189</v>
      </c>
      <c r="D19" t="s">
        <v>228</v>
      </c>
    </row>
    <row r="20" spans="1:4" x14ac:dyDescent="0.3">
      <c r="A20">
        <v>19</v>
      </c>
      <c r="B20" t="s">
        <v>219</v>
      </c>
      <c r="C20" t="s">
        <v>190</v>
      </c>
      <c r="D20" t="s">
        <v>229</v>
      </c>
    </row>
    <row r="21" spans="1:4" x14ac:dyDescent="0.3">
      <c r="A21">
        <v>20</v>
      </c>
      <c r="B21" t="s">
        <v>219</v>
      </c>
      <c r="C21" t="s">
        <v>120</v>
      </c>
      <c r="D21" t="s">
        <v>230</v>
      </c>
    </row>
    <row r="22" spans="1:4" x14ac:dyDescent="0.3">
      <c r="A22">
        <v>21</v>
      </c>
      <c r="B22" t="s">
        <v>219</v>
      </c>
      <c r="C22" t="s">
        <v>191</v>
      </c>
      <c r="D22" t="s">
        <v>231</v>
      </c>
    </row>
    <row r="23" spans="1:4" x14ac:dyDescent="0.3">
      <c r="A23">
        <v>22</v>
      </c>
      <c r="B23" t="s">
        <v>219</v>
      </c>
      <c r="C23" t="s">
        <v>232</v>
      </c>
      <c r="D23" t="s">
        <v>233</v>
      </c>
    </row>
    <row r="24" spans="1:4" x14ac:dyDescent="0.3">
      <c r="A24">
        <v>23</v>
      </c>
      <c r="B24" t="s">
        <v>219</v>
      </c>
      <c r="C24" t="s">
        <v>192</v>
      </c>
      <c r="D24" t="s">
        <v>234</v>
      </c>
    </row>
    <row r="25" spans="1:4" x14ac:dyDescent="0.3">
      <c r="A25">
        <v>24</v>
      </c>
      <c r="B25" t="s">
        <v>219</v>
      </c>
      <c r="C25" t="s">
        <v>235</v>
      </c>
      <c r="D25" t="s">
        <v>236</v>
      </c>
    </row>
    <row r="26" spans="1:4" x14ac:dyDescent="0.3">
      <c r="A26">
        <v>25</v>
      </c>
      <c r="B26" t="s">
        <v>219</v>
      </c>
      <c r="C26" t="s">
        <v>193</v>
      </c>
      <c r="D26" t="s">
        <v>237</v>
      </c>
    </row>
    <row r="27" spans="1:4" x14ac:dyDescent="0.3">
      <c r="A27">
        <v>26</v>
      </c>
      <c r="B27" t="s">
        <v>219</v>
      </c>
      <c r="C27" t="s">
        <v>194</v>
      </c>
      <c r="D27" t="s">
        <v>238</v>
      </c>
    </row>
    <row r="28" spans="1:4" x14ac:dyDescent="0.3">
      <c r="A28">
        <v>27</v>
      </c>
      <c r="B28" t="s">
        <v>219</v>
      </c>
      <c r="C28" t="s">
        <v>195</v>
      </c>
      <c r="D28" t="s">
        <v>239</v>
      </c>
    </row>
    <row r="29" spans="1:4" x14ac:dyDescent="0.3">
      <c r="A29">
        <v>28</v>
      </c>
      <c r="B29" t="s">
        <v>240</v>
      </c>
      <c r="C29" t="s">
        <v>123</v>
      </c>
      <c r="D29" t="s">
        <v>241</v>
      </c>
    </row>
    <row r="30" spans="1:4" x14ac:dyDescent="0.3">
      <c r="A30">
        <v>29</v>
      </c>
      <c r="B30" t="s">
        <v>242</v>
      </c>
      <c r="C30" t="s">
        <v>243</v>
      </c>
      <c r="D30" t="s">
        <v>244</v>
      </c>
    </row>
    <row r="31" spans="1:4" x14ac:dyDescent="0.3">
      <c r="A31">
        <v>30</v>
      </c>
      <c r="B31" t="s">
        <v>245</v>
      </c>
      <c r="C31" t="s">
        <v>246</v>
      </c>
      <c r="D31" t="s">
        <v>247</v>
      </c>
    </row>
    <row r="32" spans="1:4" x14ac:dyDescent="0.3">
      <c r="A32">
        <v>31</v>
      </c>
      <c r="B32" t="s">
        <v>245</v>
      </c>
      <c r="C32" t="s">
        <v>248</v>
      </c>
      <c r="D32" t="s">
        <v>249</v>
      </c>
    </row>
    <row r="33" spans="1:4" x14ac:dyDescent="0.3">
      <c r="A33">
        <v>32</v>
      </c>
      <c r="B33" t="s">
        <v>245</v>
      </c>
      <c r="C33" t="s">
        <v>250</v>
      </c>
      <c r="D33" t="s">
        <v>251</v>
      </c>
    </row>
    <row r="34" spans="1:4" x14ac:dyDescent="0.3">
      <c r="A34">
        <v>33</v>
      </c>
      <c r="B34" t="s">
        <v>245</v>
      </c>
      <c r="C34" t="s">
        <v>252</v>
      </c>
      <c r="D34" t="s">
        <v>253</v>
      </c>
    </row>
    <row r="35" spans="1:4" x14ac:dyDescent="0.3">
      <c r="A35">
        <v>34</v>
      </c>
      <c r="B35" t="s">
        <v>245</v>
      </c>
      <c r="C35" t="s">
        <v>254</v>
      </c>
      <c r="D35" t="s">
        <v>255</v>
      </c>
    </row>
    <row r="36" spans="1:4" x14ac:dyDescent="0.3">
      <c r="A36">
        <v>35</v>
      </c>
      <c r="B36" t="s">
        <v>245</v>
      </c>
      <c r="C36" t="s">
        <v>256</v>
      </c>
      <c r="D36" t="s">
        <v>257</v>
      </c>
    </row>
    <row r="37" spans="1:4" x14ac:dyDescent="0.3">
      <c r="A37">
        <v>36</v>
      </c>
      <c r="B37" t="s">
        <v>245</v>
      </c>
      <c r="C37" t="s">
        <v>258</v>
      </c>
      <c r="D37" t="s">
        <v>259</v>
      </c>
    </row>
    <row r="38" spans="1:4" x14ac:dyDescent="0.3">
      <c r="A38">
        <v>37</v>
      </c>
      <c r="B38" t="s">
        <v>260</v>
      </c>
      <c r="C38" t="s">
        <v>261</v>
      </c>
      <c r="D38" t="s">
        <v>262</v>
      </c>
    </row>
    <row r="39" spans="1:4" x14ac:dyDescent="0.3">
      <c r="A39">
        <v>38</v>
      </c>
      <c r="B39" t="s">
        <v>260</v>
      </c>
      <c r="C39" t="s">
        <v>263</v>
      </c>
      <c r="D39" t="s">
        <v>264</v>
      </c>
    </row>
    <row r="40" spans="1:4" x14ac:dyDescent="0.3">
      <c r="A40">
        <v>39</v>
      </c>
      <c r="B40" t="s">
        <v>265</v>
      </c>
      <c r="C40" t="s">
        <v>266</v>
      </c>
      <c r="D40" t="s">
        <v>267</v>
      </c>
    </row>
    <row r="41" spans="1:4" x14ac:dyDescent="0.3">
      <c r="A41">
        <v>40</v>
      </c>
      <c r="B41" t="s">
        <v>265</v>
      </c>
      <c r="C41" t="s">
        <v>268</v>
      </c>
      <c r="D41" t="s">
        <v>269</v>
      </c>
    </row>
    <row r="42" spans="1:4" x14ac:dyDescent="0.3">
      <c r="A42">
        <v>41</v>
      </c>
      <c r="B42" t="s">
        <v>265</v>
      </c>
      <c r="C42" t="s">
        <v>270</v>
      </c>
      <c r="D42" t="s">
        <v>271</v>
      </c>
    </row>
    <row r="43" spans="1:4" x14ac:dyDescent="0.3">
      <c r="A43">
        <v>42</v>
      </c>
      <c r="B43" t="s">
        <v>265</v>
      </c>
      <c r="C43" t="s">
        <v>272</v>
      </c>
      <c r="D43" t="s">
        <v>273</v>
      </c>
    </row>
    <row r="44" spans="1:4" x14ac:dyDescent="0.3">
      <c r="A44">
        <v>43</v>
      </c>
      <c r="B44" t="s">
        <v>265</v>
      </c>
      <c r="C44" t="s">
        <v>274</v>
      </c>
      <c r="D44" t="s">
        <v>275</v>
      </c>
    </row>
    <row r="45" spans="1:4" x14ac:dyDescent="0.3">
      <c r="A45">
        <v>44</v>
      </c>
      <c r="B45" t="s">
        <v>265</v>
      </c>
      <c r="C45" t="s">
        <v>276</v>
      </c>
      <c r="D45" t="s">
        <v>277</v>
      </c>
    </row>
    <row r="46" spans="1:4" x14ac:dyDescent="0.3">
      <c r="A46">
        <v>45</v>
      </c>
      <c r="B46" t="s">
        <v>265</v>
      </c>
      <c r="C46" t="s">
        <v>278</v>
      </c>
      <c r="D46" t="s">
        <v>279</v>
      </c>
    </row>
    <row r="47" spans="1:4" x14ac:dyDescent="0.3">
      <c r="A47">
        <v>46</v>
      </c>
      <c r="B47" t="s">
        <v>280</v>
      </c>
      <c r="C47" t="s">
        <v>281</v>
      </c>
      <c r="D47" t="s">
        <v>282</v>
      </c>
    </row>
    <row r="48" spans="1:4" x14ac:dyDescent="0.3">
      <c r="A48">
        <v>47</v>
      </c>
      <c r="B48" t="s">
        <v>280</v>
      </c>
      <c r="C48" t="s">
        <v>283</v>
      </c>
      <c r="D48" t="s">
        <v>284</v>
      </c>
    </row>
    <row r="49" spans="1:4" x14ac:dyDescent="0.3">
      <c r="A49">
        <v>48</v>
      </c>
      <c r="B49" t="s">
        <v>280</v>
      </c>
      <c r="C49" t="s">
        <v>285</v>
      </c>
      <c r="D49" t="s">
        <v>286</v>
      </c>
    </row>
    <row r="50" spans="1:4" x14ac:dyDescent="0.3">
      <c r="A50">
        <v>49</v>
      </c>
      <c r="B50" t="s">
        <v>280</v>
      </c>
      <c r="C50" t="s">
        <v>287</v>
      </c>
      <c r="D50" t="s">
        <v>288</v>
      </c>
    </row>
    <row r="51" spans="1:4" x14ac:dyDescent="0.3">
      <c r="A51">
        <v>50</v>
      </c>
      <c r="B51" t="s">
        <v>280</v>
      </c>
      <c r="C51" t="s">
        <v>289</v>
      </c>
      <c r="D51" t="s">
        <v>290</v>
      </c>
    </row>
    <row r="52" spans="1:4" x14ac:dyDescent="0.3">
      <c r="A52">
        <v>51</v>
      </c>
      <c r="B52" t="s">
        <v>280</v>
      </c>
      <c r="C52" t="s">
        <v>291</v>
      </c>
      <c r="D52" t="s">
        <v>292</v>
      </c>
    </row>
    <row r="53" spans="1:4" x14ac:dyDescent="0.3">
      <c r="A53">
        <v>52</v>
      </c>
      <c r="B53" t="s">
        <v>293</v>
      </c>
      <c r="C53" t="s">
        <v>294</v>
      </c>
      <c r="D53" t="s">
        <v>295</v>
      </c>
    </row>
    <row r="54" spans="1:4" x14ac:dyDescent="0.3">
      <c r="A54">
        <v>53</v>
      </c>
      <c r="B54" t="s">
        <v>293</v>
      </c>
      <c r="C54" t="s">
        <v>296</v>
      </c>
      <c r="D54" t="s">
        <v>297</v>
      </c>
    </row>
    <row r="55" spans="1:4" x14ac:dyDescent="0.3">
      <c r="A55">
        <v>54</v>
      </c>
      <c r="B55" t="s">
        <v>293</v>
      </c>
      <c r="C55" t="s">
        <v>298</v>
      </c>
      <c r="D55" t="s">
        <v>299</v>
      </c>
    </row>
    <row r="56" spans="1:4" x14ac:dyDescent="0.3">
      <c r="A56">
        <v>55</v>
      </c>
      <c r="B56" t="s">
        <v>293</v>
      </c>
      <c r="C56" t="s">
        <v>300</v>
      </c>
      <c r="D56" t="s">
        <v>301</v>
      </c>
    </row>
    <row r="57" spans="1:4" x14ac:dyDescent="0.3">
      <c r="A57">
        <v>56</v>
      </c>
      <c r="B57" t="s">
        <v>293</v>
      </c>
      <c r="C57" t="s">
        <v>302</v>
      </c>
      <c r="D57" t="s">
        <v>303</v>
      </c>
    </row>
    <row r="58" spans="1:4" x14ac:dyDescent="0.3">
      <c r="A58">
        <v>57</v>
      </c>
      <c r="B58" t="s">
        <v>304</v>
      </c>
      <c r="C58" t="s">
        <v>305</v>
      </c>
      <c r="D58" t="s">
        <v>306</v>
      </c>
    </row>
    <row r="59" spans="1:4" x14ac:dyDescent="0.3">
      <c r="A59">
        <v>58</v>
      </c>
      <c r="B59" t="s">
        <v>307</v>
      </c>
      <c r="C59" t="s">
        <v>308</v>
      </c>
      <c r="D59" t="s">
        <v>309</v>
      </c>
    </row>
    <row r="60" spans="1:4" x14ac:dyDescent="0.3">
      <c r="A60">
        <v>59</v>
      </c>
      <c r="B60" t="s">
        <v>307</v>
      </c>
      <c r="C60" t="s">
        <v>310</v>
      </c>
      <c r="D60" t="s">
        <v>311</v>
      </c>
    </row>
    <row r="61" spans="1:4" x14ac:dyDescent="0.3">
      <c r="A61">
        <v>60</v>
      </c>
      <c r="B61" t="s">
        <v>307</v>
      </c>
      <c r="C61" t="s">
        <v>312</v>
      </c>
      <c r="D61" t="s">
        <v>313</v>
      </c>
    </row>
    <row r="62" spans="1:4" x14ac:dyDescent="0.3">
      <c r="A62">
        <v>61</v>
      </c>
      <c r="B62" t="s">
        <v>307</v>
      </c>
      <c r="C62" t="s">
        <v>314</v>
      </c>
      <c r="D62" t="s">
        <v>315</v>
      </c>
    </row>
    <row r="63" spans="1:4" x14ac:dyDescent="0.3">
      <c r="A63">
        <v>62</v>
      </c>
      <c r="B63" t="s">
        <v>307</v>
      </c>
      <c r="C63" t="s">
        <v>316</v>
      </c>
      <c r="D63" t="s">
        <v>317</v>
      </c>
    </row>
    <row r="64" spans="1:4" x14ac:dyDescent="0.3">
      <c r="A64">
        <v>63</v>
      </c>
      <c r="B64" t="s">
        <v>307</v>
      </c>
      <c r="C64" t="s">
        <v>318</v>
      </c>
      <c r="D64" t="s">
        <v>319</v>
      </c>
    </row>
    <row r="65" spans="1:4" x14ac:dyDescent="0.3">
      <c r="A65">
        <v>64</v>
      </c>
      <c r="B65" t="s">
        <v>307</v>
      </c>
      <c r="C65" t="s">
        <v>320</v>
      </c>
      <c r="D65" t="s">
        <v>321</v>
      </c>
    </row>
    <row r="66" spans="1:4" x14ac:dyDescent="0.3">
      <c r="A66">
        <v>65</v>
      </c>
      <c r="B66" t="s">
        <v>307</v>
      </c>
      <c r="C66" t="s">
        <v>322</v>
      </c>
      <c r="D66" t="s">
        <v>323</v>
      </c>
    </row>
    <row r="67" spans="1:4" x14ac:dyDescent="0.3">
      <c r="A67">
        <v>66</v>
      </c>
      <c r="B67" t="s">
        <v>307</v>
      </c>
      <c r="C67" t="s">
        <v>324</v>
      </c>
      <c r="D67" t="s">
        <v>325</v>
      </c>
    </row>
    <row r="68" spans="1:4" x14ac:dyDescent="0.3">
      <c r="A68">
        <v>67</v>
      </c>
      <c r="B68" t="s">
        <v>307</v>
      </c>
      <c r="C68" t="s">
        <v>326</v>
      </c>
      <c r="D68" t="s">
        <v>327</v>
      </c>
    </row>
    <row r="69" spans="1:4" x14ac:dyDescent="0.3">
      <c r="A69">
        <v>68</v>
      </c>
      <c r="B69" t="s">
        <v>307</v>
      </c>
      <c r="C69" t="s">
        <v>328</v>
      </c>
      <c r="D69" t="s">
        <v>329</v>
      </c>
    </row>
    <row r="70" spans="1:4" x14ac:dyDescent="0.3">
      <c r="A70">
        <v>69</v>
      </c>
      <c r="B70" t="s">
        <v>307</v>
      </c>
      <c r="C70" t="s">
        <v>330</v>
      </c>
      <c r="D70" t="s">
        <v>331</v>
      </c>
    </row>
    <row r="71" spans="1:4" x14ac:dyDescent="0.3">
      <c r="A71">
        <v>70</v>
      </c>
      <c r="B71" t="s">
        <v>307</v>
      </c>
      <c r="C71" t="s">
        <v>332</v>
      </c>
      <c r="D71" t="s">
        <v>333</v>
      </c>
    </row>
    <row r="72" spans="1:4" x14ac:dyDescent="0.3">
      <c r="A72">
        <v>71</v>
      </c>
      <c r="B72" t="s">
        <v>307</v>
      </c>
      <c r="C72" t="s">
        <v>334</v>
      </c>
      <c r="D72" t="s">
        <v>335</v>
      </c>
    </row>
    <row r="73" spans="1:4" x14ac:dyDescent="0.3">
      <c r="A73">
        <v>72</v>
      </c>
      <c r="B73" t="s">
        <v>307</v>
      </c>
      <c r="C73" t="s">
        <v>336</v>
      </c>
      <c r="D73" t="s">
        <v>337</v>
      </c>
    </row>
    <row r="74" spans="1:4" x14ac:dyDescent="0.3">
      <c r="A74">
        <v>73</v>
      </c>
      <c r="B74" t="s">
        <v>307</v>
      </c>
      <c r="C74" t="s">
        <v>338</v>
      </c>
      <c r="D74" t="s">
        <v>339</v>
      </c>
    </row>
    <row r="75" spans="1:4" x14ac:dyDescent="0.3">
      <c r="A75">
        <v>74</v>
      </c>
      <c r="B75" t="s">
        <v>307</v>
      </c>
      <c r="C75" t="s">
        <v>340</v>
      </c>
      <c r="D75" t="s">
        <v>341</v>
      </c>
    </row>
    <row r="76" spans="1:4" x14ac:dyDescent="0.3">
      <c r="A76">
        <v>75</v>
      </c>
      <c r="B76" t="s">
        <v>307</v>
      </c>
      <c r="C76" t="s">
        <v>342</v>
      </c>
      <c r="D76" t="s">
        <v>343</v>
      </c>
    </row>
    <row r="77" spans="1:4" x14ac:dyDescent="0.3">
      <c r="A77">
        <v>76</v>
      </c>
      <c r="B77" t="s">
        <v>307</v>
      </c>
      <c r="C77" t="s">
        <v>344</v>
      </c>
      <c r="D77" t="s">
        <v>345</v>
      </c>
    </row>
    <row r="78" spans="1:4" x14ac:dyDescent="0.3">
      <c r="A78">
        <v>77</v>
      </c>
      <c r="B78" t="s">
        <v>307</v>
      </c>
      <c r="C78" t="s">
        <v>346</v>
      </c>
      <c r="D78" t="s">
        <v>347</v>
      </c>
    </row>
    <row r="79" spans="1:4" x14ac:dyDescent="0.3">
      <c r="A79">
        <v>78</v>
      </c>
      <c r="B79" t="s">
        <v>307</v>
      </c>
      <c r="C79" t="s">
        <v>348</v>
      </c>
      <c r="D79" t="s">
        <v>349</v>
      </c>
    </row>
    <row r="80" spans="1:4" x14ac:dyDescent="0.3">
      <c r="A80">
        <v>79</v>
      </c>
      <c r="B80" t="s">
        <v>307</v>
      </c>
      <c r="C80" t="s">
        <v>350</v>
      </c>
      <c r="D80" t="s">
        <v>351</v>
      </c>
    </row>
    <row r="81" spans="1:4" x14ac:dyDescent="0.3">
      <c r="A81">
        <v>80</v>
      </c>
      <c r="B81" t="s">
        <v>307</v>
      </c>
      <c r="C81" t="s">
        <v>352</v>
      </c>
      <c r="D81" t="s">
        <v>353</v>
      </c>
    </row>
    <row r="82" spans="1:4" x14ac:dyDescent="0.3">
      <c r="A82">
        <v>81</v>
      </c>
      <c r="B82" t="s">
        <v>307</v>
      </c>
      <c r="C82" t="s">
        <v>354</v>
      </c>
      <c r="D82" t="s">
        <v>355</v>
      </c>
    </row>
    <row r="83" spans="1:4" x14ac:dyDescent="0.3">
      <c r="A83">
        <v>82</v>
      </c>
      <c r="B83" t="s">
        <v>307</v>
      </c>
      <c r="C83" t="s">
        <v>356</v>
      </c>
      <c r="D83" t="s">
        <v>357</v>
      </c>
    </row>
    <row r="84" spans="1:4" x14ac:dyDescent="0.3">
      <c r="A84">
        <v>83</v>
      </c>
      <c r="B84" t="s">
        <v>307</v>
      </c>
      <c r="C84" t="s">
        <v>358</v>
      </c>
      <c r="D84" t="s">
        <v>359</v>
      </c>
    </row>
    <row r="85" spans="1:4" x14ac:dyDescent="0.3">
      <c r="A85">
        <v>84</v>
      </c>
      <c r="B85" t="s">
        <v>307</v>
      </c>
      <c r="C85" t="s">
        <v>360</v>
      </c>
      <c r="D85" t="s">
        <v>361</v>
      </c>
    </row>
    <row r="86" spans="1:4" x14ac:dyDescent="0.3">
      <c r="A86">
        <v>85</v>
      </c>
      <c r="B86" t="s">
        <v>307</v>
      </c>
      <c r="C86" t="s">
        <v>362</v>
      </c>
      <c r="D86" t="s">
        <v>363</v>
      </c>
    </row>
    <row r="87" spans="1:4" x14ac:dyDescent="0.3">
      <c r="A87">
        <v>86</v>
      </c>
      <c r="B87" t="s">
        <v>307</v>
      </c>
      <c r="C87" t="s">
        <v>364</v>
      </c>
      <c r="D87" t="s">
        <v>365</v>
      </c>
    </row>
    <row r="88" spans="1:4" x14ac:dyDescent="0.3">
      <c r="A88">
        <v>87</v>
      </c>
      <c r="B88" t="s">
        <v>307</v>
      </c>
      <c r="C88" t="s">
        <v>366</v>
      </c>
      <c r="D88" t="s">
        <v>367</v>
      </c>
    </row>
    <row r="89" spans="1:4" x14ac:dyDescent="0.3">
      <c r="A89">
        <v>88</v>
      </c>
      <c r="B89" t="s">
        <v>307</v>
      </c>
      <c r="C89" t="s">
        <v>368</v>
      </c>
      <c r="D89" t="s">
        <v>369</v>
      </c>
    </row>
    <row r="90" spans="1:4" x14ac:dyDescent="0.3">
      <c r="A90">
        <v>89</v>
      </c>
      <c r="B90" t="s">
        <v>307</v>
      </c>
      <c r="C90" t="s">
        <v>370</v>
      </c>
      <c r="D90" t="s">
        <v>371</v>
      </c>
    </row>
    <row r="91" spans="1:4" x14ac:dyDescent="0.3">
      <c r="A91">
        <v>90</v>
      </c>
      <c r="B91" t="s">
        <v>307</v>
      </c>
      <c r="C91" t="s">
        <v>372</v>
      </c>
      <c r="D91" t="s">
        <v>373</v>
      </c>
    </row>
    <row r="92" spans="1:4" x14ac:dyDescent="0.3">
      <c r="A92">
        <v>91</v>
      </c>
      <c r="B92" t="s">
        <v>307</v>
      </c>
      <c r="C92" t="s">
        <v>374</v>
      </c>
      <c r="D92" t="s">
        <v>375</v>
      </c>
    </row>
    <row r="93" spans="1:4" x14ac:dyDescent="0.3">
      <c r="A93">
        <v>92</v>
      </c>
      <c r="B93" t="s">
        <v>307</v>
      </c>
      <c r="C93" t="s">
        <v>376</v>
      </c>
      <c r="D93" t="s">
        <v>377</v>
      </c>
    </row>
    <row r="94" spans="1:4" x14ac:dyDescent="0.3">
      <c r="A94">
        <v>93</v>
      </c>
      <c r="B94" t="s">
        <v>307</v>
      </c>
      <c r="C94" t="s">
        <v>378</v>
      </c>
      <c r="D94" t="s">
        <v>379</v>
      </c>
    </row>
    <row r="95" spans="1:4" x14ac:dyDescent="0.3">
      <c r="A95">
        <v>94</v>
      </c>
      <c r="B95" t="s">
        <v>307</v>
      </c>
      <c r="C95" t="s">
        <v>380</v>
      </c>
      <c r="D95" t="s">
        <v>381</v>
      </c>
    </row>
    <row r="96" spans="1:4" x14ac:dyDescent="0.3">
      <c r="A96">
        <v>95</v>
      </c>
      <c r="B96" t="s">
        <v>307</v>
      </c>
      <c r="C96" t="s">
        <v>382</v>
      </c>
      <c r="D96" t="s">
        <v>383</v>
      </c>
    </row>
    <row r="97" spans="1:4" x14ac:dyDescent="0.3">
      <c r="A97">
        <v>96</v>
      </c>
      <c r="B97" t="s">
        <v>307</v>
      </c>
      <c r="C97" t="s">
        <v>384</v>
      </c>
      <c r="D97" t="s">
        <v>385</v>
      </c>
    </row>
    <row r="98" spans="1:4" x14ac:dyDescent="0.3">
      <c r="A98">
        <v>97</v>
      </c>
      <c r="B98" t="s">
        <v>307</v>
      </c>
      <c r="C98" t="s">
        <v>386</v>
      </c>
      <c r="D98" t="s">
        <v>387</v>
      </c>
    </row>
    <row r="99" spans="1:4" x14ac:dyDescent="0.3">
      <c r="A99">
        <v>98</v>
      </c>
      <c r="B99" t="s">
        <v>307</v>
      </c>
      <c r="C99" t="s">
        <v>388</v>
      </c>
      <c r="D99" t="s">
        <v>389</v>
      </c>
    </row>
    <row r="100" spans="1:4" x14ac:dyDescent="0.3">
      <c r="A100">
        <v>99</v>
      </c>
      <c r="B100" t="s">
        <v>307</v>
      </c>
      <c r="C100" t="s">
        <v>390</v>
      </c>
      <c r="D100" t="s">
        <v>391</v>
      </c>
    </row>
    <row r="101" spans="1:4" x14ac:dyDescent="0.3">
      <c r="A101">
        <v>100</v>
      </c>
      <c r="B101" t="s">
        <v>307</v>
      </c>
      <c r="C101" t="s">
        <v>392</v>
      </c>
      <c r="D101" t="s">
        <v>393</v>
      </c>
    </row>
    <row r="102" spans="1:4" x14ac:dyDescent="0.3">
      <c r="A102">
        <v>101</v>
      </c>
      <c r="B102" t="s">
        <v>307</v>
      </c>
      <c r="C102" t="s">
        <v>394</v>
      </c>
      <c r="D102" t="s">
        <v>395</v>
      </c>
    </row>
    <row r="103" spans="1:4" x14ac:dyDescent="0.3">
      <c r="A103">
        <v>102</v>
      </c>
      <c r="B103" t="s">
        <v>307</v>
      </c>
      <c r="C103" t="s">
        <v>396</v>
      </c>
      <c r="D103" t="s">
        <v>397</v>
      </c>
    </row>
    <row r="104" spans="1:4" x14ac:dyDescent="0.3">
      <c r="A104">
        <v>103</v>
      </c>
      <c r="B104" t="s">
        <v>307</v>
      </c>
      <c r="C104" t="s">
        <v>398</v>
      </c>
      <c r="D104" t="s">
        <v>399</v>
      </c>
    </row>
    <row r="105" spans="1:4" x14ac:dyDescent="0.3">
      <c r="A105">
        <v>104</v>
      </c>
      <c r="B105" t="s">
        <v>400</v>
      </c>
      <c r="C105" t="s">
        <v>401</v>
      </c>
      <c r="D105" t="s">
        <v>402</v>
      </c>
    </row>
    <row r="106" spans="1:4" x14ac:dyDescent="0.3">
      <c r="A106">
        <v>105</v>
      </c>
      <c r="B106" t="s">
        <v>400</v>
      </c>
      <c r="C106" t="s">
        <v>403</v>
      </c>
      <c r="D106" t="s">
        <v>404</v>
      </c>
    </row>
    <row r="107" spans="1:4" x14ac:dyDescent="0.3">
      <c r="A107">
        <v>106</v>
      </c>
      <c r="B107" t="s">
        <v>400</v>
      </c>
      <c r="C107" t="s">
        <v>405</v>
      </c>
      <c r="D107" t="s">
        <v>406</v>
      </c>
    </row>
    <row r="108" spans="1:4" x14ac:dyDescent="0.3">
      <c r="A108">
        <v>107</v>
      </c>
      <c r="B108" t="s">
        <v>400</v>
      </c>
      <c r="C108" t="s">
        <v>407</v>
      </c>
      <c r="D108" t="s">
        <v>408</v>
      </c>
    </row>
    <row r="109" spans="1:4" x14ac:dyDescent="0.3">
      <c r="A109">
        <v>108</v>
      </c>
      <c r="B109" t="s">
        <v>400</v>
      </c>
      <c r="C109" t="s">
        <v>409</v>
      </c>
      <c r="D109" t="s">
        <v>410</v>
      </c>
    </row>
    <row r="110" spans="1:4" x14ac:dyDescent="0.3">
      <c r="A110">
        <v>109</v>
      </c>
      <c r="B110" t="s">
        <v>400</v>
      </c>
      <c r="C110" t="s">
        <v>411</v>
      </c>
      <c r="D110" t="s">
        <v>412</v>
      </c>
    </row>
    <row r="111" spans="1:4" x14ac:dyDescent="0.3">
      <c r="A111">
        <v>110</v>
      </c>
      <c r="B111" t="s">
        <v>400</v>
      </c>
      <c r="C111" t="s">
        <v>413</v>
      </c>
      <c r="D111" t="s">
        <v>414</v>
      </c>
    </row>
    <row r="112" spans="1:4" x14ac:dyDescent="0.3">
      <c r="A112">
        <v>111</v>
      </c>
      <c r="B112" t="s">
        <v>400</v>
      </c>
      <c r="C112" t="s">
        <v>415</v>
      </c>
      <c r="D112" t="s">
        <v>416</v>
      </c>
    </row>
    <row r="113" spans="1:4" x14ac:dyDescent="0.3">
      <c r="A113">
        <v>112</v>
      </c>
      <c r="B113" t="s">
        <v>400</v>
      </c>
      <c r="C113" t="s">
        <v>417</v>
      </c>
      <c r="D113" t="s">
        <v>418</v>
      </c>
    </row>
    <row r="114" spans="1:4" x14ac:dyDescent="0.3">
      <c r="A114">
        <v>113</v>
      </c>
      <c r="B114" t="s">
        <v>400</v>
      </c>
      <c r="C114" t="s">
        <v>419</v>
      </c>
      <c r="D114" t="s">
        <v>420</v>
      </c>
    </row>
    <row r="115" spans="1:4" x14ac:dyDescent="0.3">
      <c r="A115">
        <v>114</v>
      </c>
      <c r="B115" t="s">
        <v>400</v>
      </c>
      <c r="C115" t="s">
        <v>421</v>
      </c>
      <c r="D115" t="s">
        <v>422</v>
      </c>
    </row>
    <row r="116" spans="1:4" x14ac:dyDescent="0.3">
      <c r="A116">
        <v>115</v>
      </c>
      <c r="B116" t="s">
        <v>400</v>
      </c>
      <c r="C116" t="s">
        <v>423</v>
      </c>
      <c r="D116" t="s">
        <v>424</v>
      </c>
    </row>
    <row r="117" spans="1:4" x14ac:dyDescent="0.3">
      <c r="A117">
        <v>116</v>
      </c>
      <c r="B117" t="s">
        <v>400</v>
      </c>
      <c r="C117" t="s">
        <v>425</v>
      </c>
      <c r="D117" t="s">
        <v>426</v>
      </c>
    </row>
    <row r="118" spans="1:4" x14ac:dyDescent="0.3">
      <c r="A118">
        <v>117</v>
      </c>
      <c r="B118" t="s">
        <v>400</v>
      </c>
      <c r="C118" t="s">
        <v>427</v>
      </c>
      <c r="D118" t="s">
        <v>428</v>
      </c>
    </row>
    <row r="119" spans="1:4" x14ac:dyDescent="0.3">
      <c r="A119">
        <v>118</v>
      </c>
      <c r="B119" t="s">
        <v>400</v>
      </c>
      <c r="C119" t="s">
        <v>429</v>
      </c>
      <c r="D119" t="s">
        <v>430</v>
      </c>
    </row>
    <row r="120" spans="1:4" x14ac:dyDescent="0.3">
      <c r="A120">
        <v>119</v>
      </c>
      <c r="B120" t="s">
        <v>400</v>
      </c>
      <c r="C120" t="s">
        <v>431</v>
      </c>
      <c r="D120" t="s">
        <v>432</v>
      </c>
    </row>
    <row r="121" spans="1:4" x14ac:dyDescent="0.3">
      <c r="A121">
        <v>120</v>
      </c>
      <c r="B121" t="s">
        <v>400</v>
      </c>
      <c r="C121" t="s">
        <v>433</v>
      </c>
      <c r="D121" t="s">
        <v>434</v>
      </c>
    </row>
    <row r="122" spans="1:4" x14ac:dyDescent="0.3">
      <c r="A122">
        <v>121</v>
      </c>
      <c r="B122" t="s">
        <v>400</v>
      </c>
      <c r="C122" t="s">
        <v>435</v>
      </c>
      <c r="D122" t="s">
        <v>436</v>
      </c>
    </row>
    <row r="123" spans="1:4" x14ac:dyDescent="0.3">
      <c r="A123">
        <v>122</v>
      </c>
      <c r="B123" t="s">
        <v>400</v>
      </c>
      <c r="C123" t="s">
        <v>437</v>
      </c>
      <c r="D123" t="s">
        <v>438</v>
      </c>
    </row>
    <row r="124" spans="1:4" x14ac:dyDescent="0.3">
      <c r="A124">
        <v>123</v>
      </c>
      <c r="B124" t="s">
        <v>400</v>
      </c>
      <c r="C124" t="s">
        <v>439</v>
      </c>
      <c r="D124" t="s">
        <v>440</v>
      </c>
    </row>
    <row r="125" spans="1:4" x14ac:dyDescent="0.3">
      <c r="A125">
        <v>124</v>
      </c>
      <c r="B125" t="s">
        <v>400</v>
      </c>
      <c r="C125" t="s">
        <v>441</v>
      </c>
      <c r="D125" t="s">
        <v>442</v>
      </c>
    </row>
    <row r="126" spans="1:4" x14ac:dyDescent="0.3">
      <c r="A126">
        <v>125</v>
      </c>
      <c r="B126" t="s">
        <v>400</v>
      </c>
      <c r="C126" t="s">
        <v>443</v>
      </c>
      <c r="D126" t="s">
        <v>444</v>
      </c>
    </row>
    <row r="127" spans="1:4" x14ac:dyDescent="0.3">
      <c r="A127">
        <v>126</v>
      </c>
      <c r="B127" t="s">
        <v>400</v>
      </c>
      <c r="C127" t="s">
        <v>445</v>
      </c>
      <c r="D127" t="s">
        <v>446</v>
      </c>
    </row>
    <row r="128" spans="1:4" x14ac:dyDescent="0.3">
      <c r="A128">
        <v>127</v>
      </c>
      <c r="B128" t="s">
        <v>400</v>
      </c>
      <c r="C128" t="s">
        <v>447</v>
      </c>
      <c r="D128" t="s">
        <v>448</v>
      </c>
    </row>
    <row r="129" spans="1:4" x14ac:dyDescent="0.3">
      <c r="A129">
        <v>128</v>
      </c>
      <c r="B129" t="s">
        <v>400</v>
      </c>
      <c r="C129" t="s">
        <v>449</v>
      </c>
      <c r="D129" t="s">
        <v>450</v>
      </c>
    </row>
    <row r="130" spans="1:4" x14ac:dyDescent="0.3">
      <c r="A130">
        <v>129</v>
      </c>
      <c r="B130" t="s">
        <v>400</v>
      </c>
      <c r="C130" t="s">
        <v>451</v>
      </c>
      <c r="D130" t="s">
        <v>452</v>
      </c>
    </row>
    <row r="131" spans="1:4" x14ac:dyDescent="0.3">
      <c r="A131">
        <v>130</v>
      </c>
      <c r="B131" t="s">
        <v>400</v>
      </c>
      <c r="C131" t="s">
        <v>453</v>
      </c>
      <c r="D131" t="s">
        <v>454</v>
      </c>
    </row>
    <row r="132" spans="1:4" x14ac:dyDescent="0.3">
      <c r="A132">
        <v>131</v>
      </c>
      <c r="B132" t="s">
        <v>400</v>
      </c>
      <c r="C132" t="s">
        <v>455</v>
      </c>
      <c r="D132" t="s">
        <v>456</v>
      </c>
    </row>
    <row r="133" spans="1:4" x14ac:dyDescent="0.3">
      <c r="A133">
        <v>132</v>
      </c>
      <c r="B133" t="s">
        <v>400</v>
      </c>
      <c r="C133" t="s">
        <v>457</v>
      </c>
      <c r="D133" t="s">
        <v>458</v>
      </c>
    </row>
    <row r="134" spans="1:4" x14ac:dyDescent="0.3">
      <c r="A134">
        <v>133</v>
      </c>
      <c r="B134" t="s">
        <v>400</v>
      </c>
      <c r="C134" t="s">
        <v>459</v>
      </c>
      <c r="D134" t="s">
        <v>460</v>
      </c>
    </row>
    <row r="135" spans="1:4" x14ac:dyDescent="0.3">
      <c r="A135">
        <v>134</v>
      </c>
      <c r="B135" t="s">
        <v>400</v>
      </c>
      <c r="C135" t="s">
        <v>461</v>
      </c>
      <c r="D135" t="s">
        <v>462</v>
      </c>
    </row>
    <row r="136" spans="1:4" x14ac:dyDescent="0.3">
      <c r="A136">
        <v>135</v>
      </c>
      <c r="B136" t="s">
        <v>400</v>
      </c>
      <c r="C136" t="s">
        <v>463</v>
      </c>
      <c r="D136" t="s">
        <v>464</v>
      </c>
    </row>
    <row r="137" spans="1:4" x14ac:dyDescent="0.3">
      <c r="A137">
        <v>136</v>
      </c>
      <c r="B137" t="s">
        <v>400</v>
      </c>
      <c r="C137" t="s">
        <v>465</v>
      </c>
      <c r="D137" t="s">
        <v>466</v>
      </c>
    </row>
    <row r="138" spans="1:4" x14ac:dyDescent="0.3">
      <c r="A138">
        <v>137</v>
      </c>
      <c r="B138" t="s">
        <v>400</v>
      </c>
      <c r="C138" t="s">
        <v>467</v>
      </c>
      <c r="D138" t="s">
        <v>468</v>
      </c>
    </row>
    <row r="139" spans="1:4" x14ac:dyDescent="0.3">
      <c r="A139">
        <v>138</v>
      </c>
      <c r="B139" t="s">
        <v>400</v>
      </c>
      <c r="C139" t="s">
        <v>469</v>
      </c>
      <c r="D139" t="s">
        <v>470</v>
      </c>
    </row>
    <row r="140" spans="1:4" x14ac:dyDescent="0.3">
      <c r="A140">
        <v>139</v>
      </c>
      <c r="B140" t="s">
        <v>400</v>
      </c>
      <c r="C140" t="s">
        <v>471</v>
      </c>
      <c r="D140" t="s">
        <v>472</v>
      </c>
    </row>
    <row r="141" spans="1:4" x14ac:dyDescent="0.3">
      <c r="A141">
        <v>140</v>
      </c>
      <c r="B141" t="s">
        <v>400</v>
      </c>
      <c r="C141" t="s">
        <v>473</v>
      </c>
      <c r="D141" t="s">
        <v>474</v>
      </c>
    </row>
    <row r="142" spans="1:4" x14ac:dyDescent="0.3">
      <c r="A142">
        <v>141</v>
      </c>
      <c r="B142" t="s">
        <v>400</v>
      </c>
      <c r="C142" t="s">
        <v>475</v>
      </c>
      <c r="D142" t="s">
        <v>476</v>
      </c>
    </row>
    <row r="143" spans="1:4" x14ac:dyDescent="0.3">
      <c r="A143">
        <v>142</v>
      </c>
      <c r="B143" t="s">
        <v>400</v>
      </c>
      <c r="C143" t="s">
        <v>477</v>
      </c>
      <c r="D143" t="s">
        <v>478</v>
      </c>
    </row>
    <row r="144" spans="1:4" x14ac:dyDescent="0.3">
      <c r="A144">
        <v>143</v>
      </c>
      <c r="B144" t="s">
        <v>400</v>
      </c>
      <c r="C144" t="s">
        <v>479</v>
      </c>
      <c r="D144" t="s">
        <v>480</v>
      </c>
    </row>
    <row r="145" spans="1:4" x14ac:dyDescent="0.3">
      <c r="A145">
        <v>144</v>
      </c>
      <c r="B145" t="s">
        <v>400</v>
      </c>
      <c r="C145" t="s">
        <v>481</v>
      </c>
      <c r="D145" t="s">
        <v>482</v>
      </c>
    </row>
    <row r="146" spans="1:4" x14ac:dyDescent="0.3">
      <c r="A146">
        <v>145</v>
      </c>
      <c r="B146" t="s">
        <v>400</v>
      </c>
      <c r="C146" t="s">
        <v>483</v>
      </c>
      <c r="D146" t="s">
        <v>484</v>
      </c>
    </row>
    <row r="147" spans="1:4" x14ac:dyDescent="0.3">
      <c r="A147">
        <v>146</v>
      </c>
      <c r="B147" t="s">
        <v>400</v>
      </c>
      <c r="C147" t="s">
        <v>485</v>
      </c>
      <c r="D147" t="s">
        <v>486</v>
      </c>
    </row>
    <row r="148" spans="1:4" x14ac:dyDescent="0.3">
      <c r="A148">
        <v>147</v>
      </c>
      <c r="B148" t="s">
        <v>400</v>
      </c>
      <c r="C148" t="s">
        <v>487</v>
      </c>
      <c r="D148" t="s">
        <v>488</v>
      </c>
    </row>
    <row r="149" spans="1:4" x14ac:dyDescent="0.3">
      <c r="A149">
        <v>148</v>
      </c>
      <c r="B149" t="s">
        <v>400</v>
      </c>
      <c r="C149" t="s">
        <v>489</v>
      </c>
      <c r="D149" t="s">
        <v>490</v>
      </c>
    </row>
    <row r="150" spans="1:4" x14ac:dyDescent="0.3">
      <c r="A150">
        <v>149</v>
      </c>
      <c r="B150" t="s">
        <v>491</v>
      </c>
      <c r="C150" t="s">
        <v>492</v>
      </c>
      <c r="D150" t="s">
        <v>493</v>
      </c>
    </row>
    <row r="151" spans="1:4" x14ac:dyDescent="0.3">
      <c r="A151">
        <v>150</v>
      </c>
      <c r="B151" t="s">
        <v>491</v>
      </c>
      <c r="C151" t="s">
        <v>494</v>
      </c>
      <c r="D151" t="s">
        <v>495</v>
      </c>
    </row>
    <row r="152" spans="1:4" x14ac:dyDescent="0.3">
      <c r="A152">
        <v>151</v>
      </c>
      <c r="B152" t="s">
        <v>496</v>
      </c>
      <c r="C152" t="s">
        <v>124</v>
      </c>
      <c r="D152" t="s">
        <v>497</v>
      </c>
    </row>
    <row r="153" spans="1:4" x14ac:dyDescent="0.3">
      <c r="A153">
        <v>152</v>
      </c>
      <c r="B153" t="s">
        <v>496</v>
      </c>
      <c r="C153" t="s">
        <v>498</v>
      </c>
      <c r="D153" t="s">
        <v>499</v>
      </c>
    </row>
    <row r="154" spans="1:4" x14ac:dyDescent="0.3">
      <c r="A154">
        <v>153</v>
      </c>
      <c r="B154" t="s">
        <v>496</v>
      </c>
      <c r="C154" t="s">
        <v>125</v>
      </c>
      <c r="D154" t="s">
        <v>500</v>
      </c>
    </row>
    <row r="155" spans="1:4" x14ac:dyDescent="0.3">
      <c r="A155">
        <v>154</v>
      </c>
      <c r="B155" t="s">
        <v>496</v>
      </c>
      <c r="C155" t="s">
        <v>501</v>
      </c>
      <c r="D155" t="s">
        <v>502</v>
      </c>
    </row>
    <row r="156" spans="1:4" x14ac:dyDescent="0.3">
      <c r="A156">
        <v>155</v>
      </c>
      <c r="B156" t="s">
        <v>496</v>
      </c>
      <c r="C156" t="s">
        <v>503</v>
      </c>
      <c r="D156" t="s">
        <v>504</v>
      </c>
    </row>
    <row r="157" spans="1:4" x14ac:dyDescent="0.3">
      <c r="A157">
        <v>156</v>
      </c>
      <c r="B157" t="s">
        <v>496</v>
      </c>
      <c r="C157" t="s">
        <v>505</v>
      </c>
      <c r="D157" t="s">
        <v>506</v>
      </c>
    </row>
    <row r="158" spans="1:4" x14ac:dyDescent="0.3">
      <c r="A158">
        <v>157</v>
      </c>
      <c r="B158" t="s">
        <v>496</v>
      </c>
      <c r="C158" t="s">
        <v>127</v>
      </c>
      <c r="D158" t="s">
        <v>507</v>
      </c>
    </row>
    <row r="159" spans="1:4" x14ac:dyDescent="0.3">
      <c r="A159">
        <v>158</v>
      </c>
      <c r="B159" t="s">
        <v>496</v>
      </c>
      <c r="C159" t="s">
        <v>508</v>
      </c>
      <c r="D159" t="s">
        <v>509</v>
      </c>
    </row>
    <row r="160" spans="1:4" x14ac:dyDescent="0.3">
      <c r="A160">
        <v>159</v>
      </c>
      <c r="B160" t="s">
        <v>496</v>
      </c>
      <c r="C160" t="s">
        <v>510</v>
      </c>
      <c r="D160" t="s">
        <v>511</v>
      </c>
    </row>
    <row r="161" spans="1:4" x14ac:dyDescent="0.3">
      <c r="A161">
        <v>160</v>
      </c>
      <c r="B161" t="s">
        <v>496</v>
      </c>
      <c r="C161" t="s">
        <v>129</v>
      </c>
      <c r="D161" t="s">
        <v>512</v>
      </c>
    </row>
    <row r="162" spans="1:4" x14ac:dyDescent="0.3">
      <c r="A162">
        <v>161</v>
      </c>
      <c r="B162" t="s">
        <v>496</v>
      </c>
      <c r="C162" t="s">
        <v>513</v>
      </c>
      <c r="D162" t="s">
        <v>514</v>
      </c>
    </row>
    <row r="163" spans="1:4" x14ac:dyDescent="0.3">
      <c r="A163">
        <v>162</v>
      </c>
      <c r="B163" t="s">
        <v>515</v>
      </c>
      <c r="C163" t="s">
        <v>121</v>
      </c>
      <c r="D163" t="s">
        <v>516</v>
      </c>
    </row>
    <row r="164" spans="1:4" x14ac:dyDescent="0.3">
      <c r="A164">
        <v>163</v>
      </c>
      <c r="B164" t="s">
        <v>515</v>
      </c>
      <c r="C164" t="s">
        <v>126</v>
      </c>
      <c r="D164" t="s">
        <v>517</v>
      </c>
    </row>
    <row r="165" spans="1:4" x14ac:dyDescent="0.3">
      <c r="A165">
        <v>164</v>
      </c>
      <c r="B165" t="s">
        <v>515</v>
      </c>
      <c r="C165" t="s">
        <v>128</v>
      </c>
      <c r="D165" t="s">
        <v>518</v>
      </c>
    </row>
    <row r="166" spans="1:4" x14ac:dyDescent="0.3">
      <c r="A166">
        <v>165</v>
      </c>
      <c r="B166" t="s">
        <v>515</v>
      </c>
      <c r="C166" t="s">
        <v>519</v>
      </c>
      <c r="D166" t="s">
        <v>520</v>
      </c>
    </row>
    <row r="167" spans="1:4" x14ac:dyDescent="0.3">
      <c r="A167">
        <v>166</v>
      </c>
      <c r="B167" t="s">
        <v>515</v>
      </c>
      <c r="C167" t="s">
        <v>521</v>
      </c>
      <c r="D167" t="s">
        <v>522</v>
      </c>
    </row>
    <row r="168" spans="1:4" x14ac:dyDescent="0.3">
      <c r="A168">
        <v>167</v>
      </c>
      <c r="B168" t="s">
        <v>523</v>
      </c>
      <c r="C168" t="s">
        <v>524</v>
      </c>
      <c r="D168" t="s">
        <v>525</v>
      </c>
    </row>
    <row r="169" spans="1:4" x14ac:dyDescent="0.3">
      <c r="A169">
        <v>168</v>
      </c>
      <c r="B169" t="s">
        <v>523</v>
      </c>
      <c r="C169" t="s">
        <v>526</v>
      </c>
      <c r="D169" t="s">
        <v>527</v>
      </c>
    </row>
    <row r="170" spans="1:4" x14ac:dyDescent="0.3">
      <c r="A170">
        <v>169</v>
      </c>
      <c r="B170" t="s">
        <v>523</v>
      </c>
      <c r="C170" t="s">
        <v>528</v>
      </c>
      <c r="D170" t="s">
        <v>529</v>
      </c>
    </row>
    <row r="171" spans="1:4" x14ac:dyDescent="0.3">
      <c r="A171">
        <v>170</v>
      </c>
      <c r="B171" t="s">
        <v>523</v>
      </c>
      <c r="C171" t="s">
        <v>530</v>
      </c>
      <c r="D171" t="s">
        <v>531</v>
      </c>
    </row>
    <row r="172" spans="1:4" x14ac:dyDescent="0.3">
      <c r="A172">
        <v>171</v>
      </c>
      <c r="B172" t="s">
        <v>523</v>
      </c>
      <c r="C172" t="s">
        <v>532</v>
      </c>
      <c r="D172" t="s">
        <v>533</v>
      </c>
    </row>
    <row r="173" spans="1:4" x14ac:dyDescent="0.3">
      <c r="A173">
        <v>172</v>
      </c>
      <c r="B173" t="s">
        <v>523</v>
      </c>
      <c r="C173" t="s">
        <v>534</v>
      </c>
      <c r="D173" t="s">
        <v>535</v>
      </c>
    </row>
    <row r="174" spans="1:4" x14ac:dyDescent="0.3">
      <c r="A174">
        <v>173</v>
      </c>
      <c r="B174" t="s">
        <v>523</v>
      </c>
      <c r="C174" t="s">
        <v>536</v>
      </c>
      <c r="D174" t="s">
        <v>537</v>
      </c>
    </row>
    <row r="175" spans="1:4" x14ac:dyDescent="0.3">
      <c r="A175">
        <v>174</v>
      </c>
      <c r="B175" t="s">
        <v>523</v>
      </c>
      <c r="C175" t="s">
        <v>538</v>
      </c>
      <c r="D175" t="s">
        <v>539</v>
      </c>
    </row>
    <row r="176" spans="1:4" x14ac:dyDescent="0.3">
      <c r="A176">
        <v>175</v>
      </c>
      <c r="B176" t="s">
        <v>523</v>
      </c>
      <c r="C176" t="s">
        <v>540</v>
      </c>
      <c r="D176" t="s">
        <v>541</v>
      </c>
    </row>
    <row r="177" spans="1:4" x14ac:dyDescent="0.3">
      <c r="A177">
        <v>176</v>
      </c>
      <c r="B177" t="s">
        <v>523</v>
      </c>
      <c r="C177" t="s">
        <v>542</v>
      </c>
      <c r="D177" t="s">
        <v>543</v>
      </c>
    </row>
    <row r="178" spans="1:4" x14ac:dyDescent="0.3">
      <c r="A178">
        <v>177</v>
      </c>
      <c r="B178" t="s">
        <v>523</v>
      </c>
      <c r="C178" t="s">
        <v>544</v>
      </c>
      <c r="D178" t="s">
        <v>545</v>
      </c>
    </row>
    <row r="179" spans="1:4" x14ac:dyDescent="0.3">
      <c r="A179">
        <v>178</v>
      </c>
      <c r="B179" t="s">
        <v>523</v>
      </c>
      <c r="C179" t="s">
        <v>546</v>
      </c>
      <c r="D179" t="s">
        <v>547</v>
      </c>
    </row>
    <row r="180" spans="1:4" x14ac:dyDescent="0.3">
      <c r="A180">
        <v>179</v>
      </c>
      <c r="B180" t="s">
        <v>523</v>
      </c>
      <c r="C180" t="s">
        <v>548</v>
      </c>
      <c r="D180" t="s">
        <v>549</v>
      </c>
    </row>
    <row r="181" spans="1:4" x14ac:dyDescent="0.3">
      <c r="A181">
        <v>180</v>
      </c>
      <c r="B181" t="s">
        <v>523</v>
      </c>
      <c r="C181" t="s">
        <v>550</v>
      </c>
      <c r="D181" t="s">
        <v>551</v>
      </c>
    </row>
    <row r="182" spans="1:4" x14ac:dyDescent="0.3">
      <c r="A182">
        <v>181</v>
      </c>
      <c r="B182" t="s">
        <v>523</v>
      </c>
      <c r="C182" t="s">
        <v>552</v>
      </c>
      <c r="D182" t="s">
        <v>553</v>
      </c>
    </row>
    <row r="183" spans="1:4" x14ac:dyDescent="0.3">
      <c r="A183">
        <v>182</v>
      </c>
      <c r="B183" t="s">
        <v>523</v>
      </c>
      <c r="C183" t="s">
        <v>554</v>
      </c>
      <c r="D183" t="s">
        <v>555</v>
      </c>
    </row>
    <row r="184" spans="1:4" x14ac:dyDescent="0.3">
      <c r="A184">
        <v>183</v>
      </c>
      <c r="B184" t="s">
        <v>523</v>
      </c>
      <c r="C184" t="s">
        <v>556</v>
      </c>
      <c r="D184" t="s">
        <v>557</v>
      </c>
    </row>
    <row r="185" spans="1:4" x14ac:dyDescent="0.3">
      <c r="A185">
        <v>184</v>
      </c>
      <c r="B185" t="s">
        <v>523</v>
      </c>
      <c r="C185" t="s">
        <v>558</v>
      </c>
      <c r="D185" t="s">
        <v>559</v>
      </c>
    </row>
    <row r="186" spans="1:4" x14ac:dyDescent="0.3">
      <c r="A186">
        <v>185</v>
      </c>
      <c r="B186" t="s">
        <v>523</v>
      </c>
      <c r="C186" t="s">
        <v>560</v>
      </c>
      <c r="D186" t="s">
        <v>561</v>
      </c>
    </row>
    <row r="187" spans="1:4" x14ac:dyDescent="0.3">
      <c r="A187">
        <v>186</v>
      </c>
      <c r="B187" t="s">
        <v>523</v>
      </c>
      <c r="C187" t="s">
        <v>562</v>
      </c>
      <c r="D187" t="s">
        <v>563</v>
      </c>
    </row>
    <row r="188" spans="1:4" x14ac:dyDescent="0.3">
      <c r="A188">
        <v>187</v>
      </c>
      <c r="B188" t="s">
        <v>523</v>
      </c>
      <c r="C188" t="s">
        <v>564</v>
      </c>
      <c r="D188" t="s">
        <v>565</v>
      </c>
    </row>
    <row r="189" spans="1:4" x14ac:dyDescent="0.3">
      <c r="A189">
        <v>188</v>
      </c>
      <c r="B189" t="s">
        <v>523</v>
      </c>
      <c r="C189" t="s">
        <v>566</v>
      </c>
      <c r="D189" t="s">
        <v>567</v>
      </c>
    </row>
    <row r="190" spans="1:4" x14ac:dyDescent="0.3">
      <c r="A190">
        <v>189</v>
      </c>
      <c r="B190" t="s">
        <v>568</v>
      </c>
      <c r="C190" t="s">
        <v>569</v>
      </c>
      <c r="D190" t="s">
        <v>570</v>
      </c>
    </row>
    <row r="191" spans="1:4" x14ac:dyDescent="0.3">
      <c r="A191">
        <v>190</v>
      </c>
      <c r="B191" t="s">
        <v>568</v>
      </c>
      <c r="C191" t="s">
        <v>571</v>
      </c>
      <c r="D191" t="s">
        <v>572</v>
      </c>
    </row>
    <row r="192" spans="1:4" x14ac:dyDescent="0.3">
      <c r="A192">
        <v>191</v>
      </c>
      <c r="B192" t="s">
        <v>568</v>
      </c>
      <c r="C192" t="s">
        <v>573</v>
      </c>
      <c r="D192" t="s">
        <v>574</v>
      </c>
    </row>
    <row r="193" spans="1:4" x14ac:dyDescent="0.3">
      <c r="A193">
        <v>192</v>
      </c>
      <c r="B193" t="s">
        <v>568</v>
      </c>
      <c r="C193" t="s">
        <v>575</v>
      </c>
      <c r="D193" t="s">
        <v>576</v>
      </c>
    </row>
    <row r="194" spans="1:4" x14ac:dyDescent="0.3">
      <c r="A194">
        <v>193</v>
      </c>
      <c r="B194" t="s">
        <v>568</v>
      </c>
      <c r="C194" t="s">
        <v>577</v>
      </c>
      <c r="D194" t="s">
        <v>578</v>
      </c>
    </row>
    <row r="195" spans="1:4" x14ac:dyDescent="0.3">
      <c r="A195">
        <v>194</v>
      </c>
      <c r="B195" t="s">
        <v>568</v>
      </c>
      <c r="C195" t="s">
        <v>579</v>
      </c>
      <c r="D195" t="s">
        <v>580</v>
      </c>
    </row>
    <row r="196" spans="1:4" x14ac:dyDescent="0.3">
      <c r="A196">
        <v>195</v>
      </c>
      <c r="B196" t="s">
        <v>568</v>
      </c>
      <c r="C196" t="s">
        <v>581</v>
      </c>
      <c r="D196" t="s">
        <v>582</v>
      </c>
    </row>
    <row r="197" spans="1:4" x14ac:dyDescent="0.3">
      <c r="A197">
        <v>196</v>
      </c>
      <c r="B197" t="s">
        <v>568</v>
      </c>
      <c r="C197" t="s">
        <v>583</v>
      </c>
      <c r="D197" t="s">
        <v>584</v>
      </c>
    </row>
    <row r="198" spans="1:4" x14ac:dyDescent="0.3">
      <c r="A198">
        <v>197</v>
      </c>
      <c r="B198" t="s">
        <v>568</v>
      </c>
      <c r="C198" t="s">
        <v>585</v>
      </c>
      <c r="D198" t="s">
        <v>586</v>
      </c>
    </row>
    <row r="199" spans="1:4" x14ac:dyDescent="0.3">
      <c r="A199">
        <v>198</v>
      </c>
      <c r="B199" t="s">
        <v>568</v>
      </c>
      <c r="C199" t="s">
        <v>587</v>
      </c>
      <c r="D199" t="s">
        <v>588</v>
      </c>
    </row>
    <row r="200" spans="1:4" x14ac:dyDescent="0.3">
      <c r="A200">
        <v>199</v>
      </c>
      <c r="B200" t="s">
        <v>568</v>
      </c>
      <c r="C200" t="s">
        <v>589</v>
      </c>
      <c r="D200" t="s">
        <v>590</v>
      </c>
    </row>
    <row r="201" spans="1:4" x14ac:dyDescent="0.3">
      <c r="A201">
        <v>200</v>
      </c>
      <c r="B201" t="s">
        <v>568</v>
      </c>
      <c r="C201" t="s">
        <v>591</v>
      </c>
      <c r="D201" t="s">
        <v>592</v>
      </c>
    </row>
    <row r="202" spans="1:4" x14ac:dyDescent="0.3">
      <c r="A202">
        <v>201</v>
      </c>
      <c r="B202" t="s">
        <v>568</v>
      </c>
      <c r="C202" t="s">
        <v>593</v>
      </c>
      <c r="D202" t="s">
        <v>594</v>
      </c>
    </row>
    <row r="203" spans="1:4" x14ac:dyDescent="0.3">
      <c r="A203">
        <v>202</v>
      </c>
      <c r="B203" t="s">
        <v>568</v>
      </c>
      <c r="C203" t="s">
        <v>595</v>
      </c>
      <c r="D203" t="s">
        <v>596</v>
      </c>
    </row>
    <row r="204" spans="1:4" x14ac:dyDescent="0.3">
      <c r="A204">
        <v>203</v>
      </c>
      <c r="B204" t="s">
        <v>597</v>
      </c>
      <c r="C204" t="s">
        <v>598</v>
      </c>
      <c r="D204" t="s">
        <v>599</v>
      </c>
    </row>
    <row r="205" spans="1:4" x14ac:dyDescent="0.3">
      <c r="A205">
        <v>204</v>
      </c>
      <c r="B205" t="s">
        <v>597</v>
      </c>
      <c r="C205" t="s">
        <v>600</v>
      </c>
      <c r="D205" t="s">
        <v>601</v>
      </c>
    </row>
    <row r="206" spans="1:4" x14ac:dyDescent="0.3">
      <c r="A206">
        <v>205</v>
      </c>
      <c r="B206" t="s">
        <v>597</v>
      </c>
      <c r="C206" t="s">
        <v>602</v>
      </c>
      <c r="D206" t="s">
        <v>603</v>
      </c>
    </row>
    <row r="207" spans="1:4" x14ac:dyDescent="0.3">
      <c r="A207">
        <v>206</v>
      </c>
      <c r="B207" t="s">
        <v>597</v>
      </c>
      <c r="C207" t="s">
        <v>604</v>
      </c>
      <c r="D207" t="s">
        <v>605</v>
      </c>
    </row>
    <row r="208" spans="1:4" x14ac:dyDescent="0.3">
      <c r="A208">
        <v>207</v>
      </c>
      <c r="B208" t="s">
        <v>597</v>
      </c>
      <c r="C208" t="s">
        <v>606</v>
      </c>
      <c r="D208" t="s">
        <v>607</v>
      </c>
    </row>
    <row r="209" spans="1:4" x14ac:dyDescent="0.3">
      <c r="A209">
        <v>208</v>
      </c>
      <c r="B209" t="s">
        <v>597</v>
      </c>
      <c r="C209" t="s">
        <v>608</v>
      </c>
      <c r="D209" t="s">
        <v>609</v>
      </c>
    </row>
    <row r="210" spans="1:4" x14ac:dyDescent="0.3">
      <c r="A210">
        <v>209</v>
      </c>
      <c r="B210" t="s">
        <v>597</v>
      </c>
      <c r="C210" t="s">
        <v>610</v>
      </c>
      <c r="D210" t="s">
        <v>611</v>
      </c>
    </row>
    <row r="211" spans="1:4" x14ac:dyDescent="0.3">
      <c r="A211">
        <v>210</v>
      </c>
      <c r="B211" t="s">
        <v>597</v>
      </c>
      <c r="C211" t="s">
        <v>612</v>
      </c>
      <c r="D211" t="s">
        <v>613</v>
      </c>
    </row>
    <row r="212" spans="1:4" x14ac:dyDescent="0.3">
      <c r="A212">
        <v>211</v>
      </c>
      <c r="B212" t="s">
        <v>597</v>
      </c>
      <c r="C212" t="s">
        <v>614</v>
      </c>
      <c r="D212" t="s">
        <v>615</v>
      </c>
    </row>
    <row r="213" spans="1:4" x14ac:dyDescent="0.3">
      <c r="A213">
        <v>212</v>
      </c>
      <c r="B213" t="s">
        <v>597</v>
      </c>
      <c r="C213" t="s">
        <v>616</v>
      </c>
      <c r="D213" t="s">
        <v>617</v>
      </c>
    </row>
    <row r="214" spans="1:4" x14ac:dyDescent="0.3">
      <c r="A214">
        <v>213</v>
      </c>
      <c r="B214" t="s">
        <v>597</v>
      </c>
      <c r="C214" t="s">
        <v>618</v>
      </c>
      <c r="D214" t="s">
        <v>619</v>
      </c>
    </row>
    <row r="215" spans="1:4" x14ac:dyDescent="0.3">
      <c r="A215">
        <v>214</v>
      </c>
      <c r="B215" t="s">
        <v>597</v>
      </c>
      <c r="C215" t="s">
        <v>620</v>
      </c>
      <c r="D215" t="s">
        <v>621</v>
      </c>
    </row>
    <row r="216" spans="1:4" x14ac:dyDescent="0.3">
      <c r="A216">
        <v>215</v>
      </c>
      <c r="B216" t="s">
        <v>597</v>
      </c>
      <c r="C216" t="s">
        <v>622</v>
      </c>
      <c r="D216" t="s">
        <v>623</v>
      </c>
    </row>
    <row r="217" spans="1:4" x14ac:dyDescent="0.3">
      <c r="A217">
        <v>216</v>
      </c>
      <c r="B217" t="s">
        <v>597</v>
      </c>
      <c r="C217" t="s">
        <v>624</v>
      </c>
      <c r="D217" t="s">
        <v>625</v>
      </c>
    </row>
    <row r="218" spans="1:4" x14ac:dyDescent="0.3">
      <c r="A218">
        <v>217</v>
      </c>
      <c r="B218" t="s">
        <v>597</v>
      </c>
      <c r="C218" t="s">
        <v>626</v>
      </c>
      <c r="D218" t="s">
        <v>627</v>
      </c>
    </row>
    <row r="219" spans="1:4" x14ac:dyDescent="0.3">
      <c r="A219">
        <v>218</v>
      </c>
      <c r="B219" t="s">
        <v>597</v>
      </c>
      <c r="C219" t="s">
        <v>628</v>
      </c>
      <c r="D219" t="s">
        <v>629</v>
      </c>
    </row>
    <row r="220" spans="1:4" x14ac:dyDescent="0.3">
      <c r="A220">
        <v>219</v>
      </c>
      <c r="B220" t="s">
        <v>597</v>
      </c>
      <c r="C220" t="s">
        <v>630</v>
      </c>
      <c r="D220" t="s">
        <v>631</v>
      </c>
    </row>
    <row r="221" spans="1:4" x14ac:dyDescent="0.3">
      <c r="A221">
        <v>220</v>
      </c>
      <c r="B221" t="s">
        <v>597</v>
      </c>
      <c r="C221" t="s">
        <v>632</v>
      </c>
      <c r="D221" t="s">
        <v>633</v>
      </c>
    </row>
    <row r="222" spans="1:4" x14ac:dyDescent="0.3">
      <c r="A222">
        <v>221</v>
      </c>
      <c r="B222" t="s">
        <v>597</v>
      </c>
      <c r="C222" t="s">
        <v>634</v>
      </c>
      <c r="D222" t="s">
        <v>635</v>
      </c>
    </row>
    <row r="223" spans="1:4" x14ac:dyDescent="0.3">
      <c r="A223">
        <v>222</v>
      </c>
      <c r="B223" t="s">
        <v>597</v>
      </c>
      <c r="C223" t="s">
        <v>636</v>
      </c>
      <c r="D223" t="s">
        <v>637</v>
      </c>
    </row>
    <row r="224" spans="1:4" x14ac:dyDescent="0.3">
      <c r="A224">
        <v>223</v>
      </c>
      <c r="B224" t="s">
        <v>597</v>
      </c>
      <c r="C224" t="s">
        <v>638</v>
      </c>
      <c r="D224" t="s">
        <v>639</v>
      </c>
    </row>
    <row r="225" spans="1:4" x14ac:dyDescent="0.3">
      <c r="A225">
        <v>224</v>
      </c>
      <c r="B225" t="s">
        <v>597</v>
      </c>
      <c r="C225" t="s">
        <v>640</v>
      </c>
      <c r="D225" t="s">
        <v>641</v>
      </c>
    </row>
    <row r="226" spans="1:4" x14ac:dyDescent="0.3">
      <c r="A226">
        <v>225</v>
      </c>
      <c r="B226" t="s">
        <v>597</v>
      </c>
      <c r="C226" t="s">
        <v>642</v>
      </c>
      <c r="D226" t="s">
        <v>643</v>
      </c>
    </row>
    <row r="227" spans="1:4" x14ac:dyDescent="0.3">
      <c r="A227">
        <v>226</v>
      </c>
      <c r="B227" t="s">
        <v>597</v>
      </c>
      <c r="C227" t="s">
        <v>644</v>
      </c>
      <c r="D227" t="s">
        <v>645</v>
      </c>
    </row>
    <row r="228" spans="1:4" x14ac:dyDescent="0.3">
      <c r="A228">
        <v>227</v>
      </c>
      <c r="B228" t="s">
        <v>597</v>
      </c>
      <c r="C228" t="s">
        <v>646</v>
      </c>
      <c r="D228" t="s">
        <v>647</v>
      </c>
    </row>
    <row r="229" spans="1:4" x14ac:dyDescent="0.3">
      <c r="A229">
        <v>228</v>
      </c>
      <c r="B229" t="s">
        <v>597</v>
      </c>
      <c r="C229" t="s">
        <v>648</v>
      </c>
      <c r="D229" t="s">
        <v>649</v>
      </c>
    </row>
    <row r="230" spans="1:4" x14ac:dyDescent="0.3">
      <c r="A230">
        <v>229</v>
      </c>
      <c r="B230" t="s">
        <v>597</v>
      </c>
      <c r="C230" t="s">
        <v>650</v>
      </c>
      <c r="D230" t="s">
        <v>651</v>
      </c>
    </row>
    <row r="231" spans="1:4" x14ac:dyDescent="0.3">
      <c r="A231">
        <v>230</v>
      </c>
      <c r="B231" t="s">
        <v>597</v>
      </c>
      <c r="C231" t="s">
        <v>652</v>
      </c>
      <c r="D231" t="s">
        <v>653</v>
      </c>
    </row>
    <row r="232" spans="1:4" x14ac:dyDescent="0.3">
      <c r="A232">
        <v>231</v>
      </c>
      <c r="B232" t="s">
        <v>597</v>
      </c>
      <c r="C232" t="s">
        <v>654</v>
      </c>
      <c r="D232" t="s">
        <v>655</v>
      </c>
    </row>
    <row r="233" spans="1:4" x14ac:dyDescent="0.3">
      <c r="A233">
        <v>232</v>
      </c>
      <c r="B233" t="s">
        <v>597</v>
      </c>
      <c r="C233" t="s">
        <v>656</v>
      </c>
      <c r="D233" t="s">
        <v>657</v>
      </c>
    </row>
    <row r="234" spans="1:4" x14ac:dyDescent="0.3">
      <c r="A234">
        <v>233</v>
      </c>
      <c r="B234" t="s">
        <v>597</v>
      </c>
      <c r="C234" t="s">
        <v>658</v>
      </c>
      <c r="D234" t="s">
        <v>659</v>
      </c>
    </row>
    <row r="235" spans="1:4" x14ac:dyDescent="0.3">
      <c r="A235">
        <v>234</v>
      </c>
      <c r="B235" t="s">
        <v>597</v>
      </c>
      <c r="C235" t="s">
        <v>660</v>
      </c>
      <c r="D235" t="s">
        <v>661</v>
      </c>
    </row>
    <row r="236" spans="1:4" x14ac:dyDescent="0.3">
      <c r="A236">
        <v>235</v>
      </c>
      <c r="B236" t="s">
        <v>597</v>
      </c>
      <c r="C236" t="s">
        <v>662</v>
      </c>
      <c r="D236" t="s">
        <v>663</v>
      </c>
    </row>
    <row r="237" spans="1:4" x14ac:dyDescent="0.3">
      <c r="A237">
        <v>236</v>
      </c>
      <c r="B237" t="s">
        <v>597</v>
      </c>
      <c r="C237" t="s">
        <v>664</v>
      </c>
      <c r="D237" t="s">
        <v>665</v>
      </c>
    </row>
    <row r="238" spans="1:4" x14ac:dyDescent="0.3">
      <c r="A238">
        <v>237</v>
      </c>
      <c r="B238" t="s">
        <v>597</v>
      </c>
      <c r="C238" t="s">
        <v>666</v>
      </c>
      <c r="D238" t="s">
        <v>667</v>
      </c>
    </row>
    <row r="239" spans="1:4" x14ac:dyDescent="0.3">
      <c r="A239">
        <v>238</v>
      </c>
      <c r="B239" t="s">
        <v>597</v>
      </c>
      <c r="C239" t="s">
        <v>668</v>
      </c>
      <c r="D239" t="s">
        <v>669</v>
      </c>
    </row>
    <row r="240" spans="1:4" x14ac:dyDescent="0.3">
      <c r="A240">
        <v>239</v>
      </c>
      <c r="B240" t="s">
        <v>597</v>
      </c>
      <c r="C240" t="s">
        <v>670</v>
      </c>
      <c r="D240" t="s">
        <v>671</v>
      </c>
    </row>
    <row r="241" spans="1:4" x14ac:dyDescent="0.3">
      <c r="A241">
        <v>240</v>
      </c>
      <c r="B241" t="s">
        <v>597</v>
      </c>
      <c r="C241" t="s">
        <v>672</v>
      </c>
      <c r="D241" t="s">
        <v>673</v>
      </c>
    </row>
    <row r="242" spans="1:4" x14ac:dyDescent="0.3">
      <c r="A242">
        <v>241</v>
      </c>
      <c r="B242" t="s">
        <v>597</v>
      </c>
      <c r="C242" t="s">
        <v>674</v>
      </c>
      <c r="D242" t="s">
        <v>675</v>
      </c>
    </row>
    <row r="243" spans="1:4" x14ac:dyDescent="0.3">
      <c r="A243">
        <v>242</v>
      </c>
      <c r="B243" t="s">
        <v>676</v>
      </c>
      <c r="C243" t="s">
        <v>677</v>
      </c>
      <c r="D243" t="s">
        <v>678</v>
      </c>
    </row>
    <row r="244" spans="1:4" x14ac:dyDescent="0.3">
      <c r="A244">
        <v>243</v>
      </c>
      <c r="B244" t="s">
        <v>679</v>
      </c>
      <c r="C244" t="s">
        <v>680</v>
      </c>
      <c r="D244" t="s">
        <v>681</v>
      </c>
    </row>
    <row r="245" spans="1:4" x14ac:dyDescent="0.3">
      <c r="A245">
        <v>244</v>
      </c>
      <c r="B245" t="s">
        <v>679</v>
      </c>
      <c r="C245" t="s">
        <v>682</v>
      </c>
      <c r="D245" t="s">
        <v>683</v>
      </c>
    </row>
    <row r="246" spans="1:4" x14ac:dyDescent="0.3">
      <c r="A246">
        <v>245</v>
      </c>
      <c r="B246" t="s">
        <v>679</v>
      </c>
      <c r="C246" t="s">
        <v>684</v>
      </c>
      <c r="D246" t="s">
        <v>685</v>
      </c>
    </row>
    <row r="247" spans="1:4" x14ac:dyDescent="0.3">
      <c r="A247">
        <v>246</v>
      </c>
      <c r="B247" t="s">
        <v>679</v>
      </c>
      <c r="C247" t="s">
        <v>686</v>
      </c>
      <c r="D247" t="s">
        <v>687</v>
      </c>
    </row>
    <row r="248" spans="1:4" x14ac:dyDescent="0.3">
      <c r="A248">
        <v>247</v>
      </c>
      <c r="B248" t="s">
        <v>679</v>
      </c>
      <c r="C248" t="s">
        <v>688</v>
      </c>
      <c r="D248" t="s">
        <v>689</v>
      </c>
    </row>
    <row r="249" spans="1:4" x14ac:dyDescent="0.3">
      <c r="A249">
        <v>248</v>
      </c>
      <c r="B249" t="s">
        <v>679</v>
      </c>
      <c r="C249" t="s">
        <v>690</v>
      </c>
      <c r="D249" t="s">
        <v>691</v>
      </c>
    </row>
    <row r="250" spans="1:4" x14ac:dyDescent="0.3">
      <c r="A250">
        <v>249</v>
      </c>
      <c r="B250" t="s">
        <v>679</v>
      </c>
      <c r="C250" t="s">
        <v>692</v>
      </c>
      <c r="D250" t="s">
        <v>693</v>
      </c>
    </row>
    <row r="251" spans="1:4" x14ac:dyDescent="0.3">
      <c r="A251">
        <v>250</v>
      </c>
      <c r="B251" t="s">
        <v>679</v>
      </c>
      <c r="C251" t="s">
        <v>694</v>
      </c>
      <c r="D251" t="s">
        <v>695</v>
      </c>
    </row>
    <row r="252" spans="1:4" x14ac:dyDescent="0.3">
      <c r="A252">
        <v>251</v>
      </c>
      <c r="B252" t="s">
        <v>696</v>
      </c>
      <c r="C252" t="s">
        <v>697</v>
      </c>
      <c r="D252" t="s">
        <v>698</v>
      </c>
    </row>
    <row r="253" spans="1:4" x14ac:dyDescent="0.3">
      <c r="A253">
        <v>252</v>
      </c>
      <c r="B253" t="s">
        <v>696</v>
      </c>
      <c r="C253" t="s">
        <v>699</v>
      </c>
      <c r="D253" t="s">
        <v>700</v>
      </c>
    </row>
    <row r="254" spans="1:4" x14ac:dyDescent="0.3">
      <c r="A254">
        <v>253</v>
      </c>
      <c r="B254" t="s">
        <v>696</v>
      </c>
      <c r="C254" t="s">
        <v>701</v>
      </c>
      <c r="D254" t="s">
        <v>702</v>
      </c>
    </row>
    <row r="255" spans="1:4" x14ac:dyDescent="0.3">
      <c r="A255">
        <v>254</v>
      </c>
      <c r="B255" t="s">
        <v>696</v>
      </c>
      <c r="C255" t="s">
        <v>703</v>
      </c>
      <c r="D255" t="s">
        <v>704</v>
      </c>
    </row>
    <row r="256" spans="1:4" x14ac:dyDescent="0.3">
      <c r="A256">
        <v>255</v>
      </c>
      <c r="B256" t="s">
        <v>696</v>
      </c>
      <c r="C256" t="s">
        <v>705</v>
      </c>
      <c r="D256" t="s">
        <v>706</v>
      </c>
    </row>
    <row r="257" spans="1:4" x14ac:dyDescent="0.3">
      <c r="A257">
        <v>256</v>
      </c>
      <c r="B257" t="s">
        <v>696</v>
      </c>
      <c r="C257" t="s">
        <v>707</v>
      </c>
      <c r="D257" t="s">
        <v>708</v>
      </c>
    </row>
    <row r="258" spans="1:4" x14ac:dyDescent="0.3">
      <c r="A258">
        <v>257</v>
      </c>
      <c r="B258" t="s">
        <v>696</v>
      </c>
      <c r="C258" t="s">
        <v>709</v>
      </c>
      <c r="D258" t="s">
        <v>710</v>
      </c>
    </row>
    <row r="259" spans="1:4" x14ac:dyDescent="0.3">
      <c r="A259">
        <v>258</v>
      </c>
      <c r="B259" t="s">
        <v>711</v>
      </c>
      <c r="C259" t="s">
        <v>712</v>
      </c>
      <c r="D259" t="s">
        <v>713</v>
      </c>
    </row>
    <row r="260" spans="1:4" x14ac:dyDescent="0.3">
      <c r="A260">
        <v>259</v>
      </c>
      <c r="B260" t="s">
        <v>711</v>
      </c>
      <c r="C260" t="s">
        <v>714</v>
      </c>
      <c r="D260" t="s">
        <v>715</v>
      </c>
    </row>
    <row r="261" spans="1:4" x14ac:dyDescent="0.3">
      <c r="A261">
        <v>260</v>
      </c>
      <c r="B261" t="s">
        <v>711</v>
      </c>
      <c r="C261" t="s">
        <v>716</v>
      </c>
      <c r="D261" t="s">
        <v>717</v>
      </c>
    </row>
    <row r="262" spans="1:4" x14ac:dyDescent="0.3">
      <c r="A262">
        <v>261</v>
      </c>
      <c r="B262" t="s">
        <v>718</v>
      </c>
      <c r="C262" t="s">
        <v>719</v>
      </c>
      <c r="D262" t="s">
        <v>720</v>
      </c>
    </row>
    <row r="263" spans="1:4" x14ac:dyDescent="0.3">
      <c r="A263">
        <v>262</v>
      </c>
      <c r="B263" t="s">
        <v>718</v>
      </c>
      <c r="C263" t="s">
        <v>721</v>
      </c>
      <c r="D263" t="s">
        <v>722</v>
      </c>
    </row>
    <row r="264" spans="1:4" x14ac:dyDescent="0.3">
      <c r="A264">
        <v>263</v>
      </c>
      <c r="B264" t="s">
        <v>718</v>
      </c>
      <c r="C264" t="s">
        <v>723</v>
      </c>
      <c r="D264" t="s">
        <v>724</v>
      </c>
    </row>
    <row r="265" spans="1:4" x14ac:dyDescent="0.3">
      <c r="A265">
        <v>264</v>
      </c>
      <c r="B265" t="s">
        <v>718</v>
      </c>
      <c r="C265" t="s">
        <v>725</v>
      </c>
      <c r="D265" t="s">
        <v>726</v>
      </c>
    </row>
    <row r="266" spans="1:4" x14ac:dyDescent="0.3">
      <c r="A266">
        <v>265</v>
      </c>
      <c r="B266" t="s">
        <v>718</v>
      </c>
      <c r="C266" t="s">
        <v>727</v>
      </c>
      <c r="D266" t="s">
        <v>728</v>
      </c>
    </row>
    <row r="267" spans="1:4" x14ac:dyDescent="0.3">
      <c r="A267">
        <v>266</v>
      </c>
      <c r="B267" t="s">
        <v>718</v>
      </c>
      <c r="C267" t="s">
        <v>729</v>
      </c>
      <c r="D267" t="s">
        <v>730</v>
      </c>
    </row>
    <row r="268" spans="1:4" x14ac:dyDescent="0.3">
      <c r="A268">
        <v>267</v>
      </c>
      <c r="B268" t="s">
        <v>731</v>
      </c>
      <c r="C268" t="s">
        <v>732</v>
      </c>
      <c r="D268" t="s">
        <v>733</v>
      </c>
    </row>
    <row r="269" spans="1:4" x14ac:dyDescent="0.3">
      <c r="A269">
        <v>268</v>
      </c>
      <c r="B269" t="s">
        <v>731</v>
      </c>
      <c r="C269" t="s">
        <v>734</v>
      </c>
      <c r="D269" t="s">
        <v>735</v>
      </c>
    </row>
    <row r="270" spans="1:4" x14ac:dyDescent="0.3">
      <c r="A270">
        <v>269</v>
      </c>
      <c r="B270" t="s">
        <v>731</v>
      </c>
      <c r="C270" t="s">
        <v>736</v>
      </c>
      <c r="D270" t="s">
        <v>737</v>
      </c>
    </row>
    <row r="271" spans="1:4" x14ac:dyDescent="0.3">
      <c r="A271">
        <v>270</v>
      </c>
      <c r="B271" t="s">
        <v>731</v>
      </c>
      <c r="C271" t="s">
        <v>738</v>
      </c>
      <c r="D271" t="s">
        <v>739</v>
      </c>
    </row>
    <row r="272" spans="1:4" x14ac:dyDescent="0.3">
      <c r="A272">
        <v>271</v>
      </c>
      <c r="B272" t="s">
        <v>731</v>
      </c>
      <c r="C272" t="s">
        <v>740</v>
      </c>
      <c r="D272" t="s">
        <v>741</v>
      </c>
    </row>
    <row r="273" spans="1:4" x14ac:dyDescent="0.3">
      <c r="A273">
        <v>272</v>
      </c>
      <c r="B273" t="s">
        <v>731</v>
      </c>
      <c r="C273" t="s">
        <v>742</v>
      </c>
      <c r="D273" t="s">
        <v>743</v>
      </c>
    </row>
    <row r="274" spans="1:4" x14ac:dyDescent="0.3">
      <c r="A274">
        <v>273</v>
      </c>
      <c r="B274" t="s">
        <v>731</v>
      </c>
      <c r="C274" t="s">
        <v>744</v>
      </c>
      <c r="D274" t="s">
        <v>745</v>
      </c>
    </row>
    <row r="275" spans="1:4" x14ac:dyDescent="0.3">
      <c r="A275">
        <v>274</v>
      </c>
      <c r="B275" t="s">
        <v>731</v>
      </c>
      <c r="C275" t="s">
        <v>746</v>
      </c>
      <c r="D275" t="s">
        <v>747</v>
      </c>
    </row>
    <row r="276" spans="1:4" x14ac:dyDescent="0.3">
      <c r="A276">
        <v>275</v>
      </c>
      <c r="B276" t="s">
        <v>731</v>
      </c>
      <c r="C276" t="s">
        <v>748</v>
      </c>
      <c r="D276" t="s">
        <v>749</v>
      </c>
    </row>
    <row r="277" spans="1:4" x14ac:dyDescent="0.3">
      <c r="A277">
        <v>276</v>
      </c>
      <c r="B277" t="s">
        <v>731</v>
      </c>
      <c r="C277" t="s">
        <v>750</v>
      </c>
      <c r="D277" t="s">
        <v>751</v>
      </c>
    </row>
    <row r="278" spans="1:4" x14ac:dyDescent="0.3">
      <c r="A278">
        <v>277</v>
      </c>
      <c r="B278" t="s">
        <v>731</v>
      </c>
      <c r="C278" t="s">
        <v>752</v>
      </c>
      <c r="D278" t="s">
        <v>753</v>
      </c>
    </row>
    <row r="279" spans="1:4" x14ac:dyDescent="0.3">
      <c r="A279">
        <v>278</v>
      </c>
      <c r="B279" t="s">
        <v>731</v>
      </c>
      <c r="C279" t="s">
        <v>754</v>
      </c>
      <c r="D279" t="s">
        <v>755</v>
      </c>
    </row>
    <row r="280" spans="1:4" x14ac:dyDescent="0.3">
      <c r="A280">
        <v>279</v>
      </c>
      <c r="B280" t="s">
        <v>731</v>
      </c>
      <c r="C280" t="s">
        <v>756</v>
      </c>
      <c r="D280" t="s">
        <v>757</v>
      </c>
    </row>
    <row r="281" spans="1:4" x14ac:dyDescent="0.3">
      <c r="A281">
        <v>280</v>
      </c>
      <c r="B281" t="s">
        <v>731</v>
      </c>
      <c r="C281" t="s">
        <v>758</v>
      </c>
      <c r="D281" t="s">
        <v>759</v>
      </c>
    </row>
    <row r="282" spans="1:4" x14ac:dyDescent="0.3">
      <c r="A282">
        <v>281</v>
      </c>
      <c r="B282" t="s">
        <v>731</v>
      </c>
      <c r="C282" t="s">
        <v>760</v>
      </c>
      <c r="D282" t="s">
        <v>761</v>
      </c>
    </row>
    <row r="283" spans="1:4" x14ac:dyDescent="0.3">
      <c r="A283">
        <v>282</v>
      </c>
      <c r="B283" t="s">
        <v>731</v>
      </c>
      <c r="C283" t="s">
        <v>762</v>
      </c>
      <c r="D283" t="s">
        <v>763</v>
      </c>
    </row>
    <row r="284" spans="1:4" x14ac:dyDescent="0.3">
      <c r="A284">
        <v>283</v>
      </c>
      <c r="B284" t="s">
        <v>731</v>
      </c>
      <c r="C284" t="s">
        <v>764</v>
      </c>
      <c r="D284" t="s">
        <v>765</v>
      </c>
    </row>
    <row r="285" spans="1:4" x14ac:dyDescent="0.3">
      <c r="A285">
        <v>284</v>
      </c>
      <c r="B285" t="s">
        <v>731</v>
      </c>
      <c r="C285" t="s">
        <v>766</v>
      </c>
      <c r="D285" t="s">
        <v>767</v>
      </c>
    </row>
    <row r="286" spans="1:4" x14ac:dyDescent="0.3">
      <c r="A286">
        <v>285</v>
      </c>
      <c r="B286" t="s">
        <v>731</v>
      </c>
      <c r="C286" t="s">
        <v>768</v>
      </c>
      <c r="D286" t="s">
        <v>769</v>
      </c>
    </row>
    <row r="287" spans="1:4" x14ac:dyDescent="0.3">
      <c r="A287">
        <v>286</v>
      </c>
      <c r="B287" t="s">
        <v>731</v>
      </c>
      <c r="C287" t="s">
        <v>770</v>
      </c>
      <c r="D287" t="s">
        <v>771</v>
      </c>
    </row>
    <row r="288" spans="1:4" x14ac:dyDescent="0.3">
      <c r="A288">
        <v>287</v>
      </c>
      <c r="B288" t="s">
        <v>772</v>
      </c>
      <c r="C288" t="s">
        <v>773</v>
      </c>
      <c r="D288" t="s">
        <v>774</v>
      </c>
    </row>
    <row r="289" spans="1:4" x14ac:dyDescent="0.3">
      <c r="A289">
        <v>288</v>
      </c>
      <c r="B289" t="s">
        <v>772</v>
      </c>
      <c r="C289" t="s">
        <v>775</v>
      </c>
      <c r="D289" t="s">
        <v>776</v>
      </c>
    </row>
    <row r="290" spans="1:4" x14ac:dyDescent="0.3">
      <c r="A290">
        <v>289</v>
      </c>
      <c r="B290" t="s">
        <v>772</v>
      </c>
      <c r="C290" t="s">
        <v>777</v>
      </c>
      <c r="D290" t="s">
        <v>778</v>
      </c>
    </row>
    <row r="291" spans="1:4" x14ac:dyDescent="0.3">
      <c r="A291">
        <v>290</v>
      </c>
      <c r="B291" t="s">
        <v>779</v>
      </c>
      <c r="C291" t="s">
        <v>780</v>
      </c>
      <c r="D291" t="s">
        <v>781</v>
      </c>
    </row>
    <row r="292" spans="1:4" x14ac:dyDescent="0.3">
      <c r="A292">
        <v>291</v>
      </c>
      <c r="B292" t="s">
        <v>782</v>
      </c>
      <c r="C292" t="s">
        <v>783</v>
      </c>
      <c r="D292" t="s">
        <v>784</v>
      </c>
    </row>
    <row r="293" spans="1:4" x14ac:dyDescent="0.3">
      <c r="A293">
        <v>292</v>
      </c>
      <c r="B293" t="s">
        <v>782</v>
      </c>
      <c r="C293" t="s">
        <v>122</v>
      </c>
      <c r="D293" t="s">
        <v>785</v>
      </c>
    </row>
    <row r="294" spans="1:4" x14ac:dyDescent="0.3">
      <c r="A294">
        <v>293</v>
      </c>
      <c r="B294" t="s">
        <v>782</v>
      </c>
      <c r="C294" t="s">
        <v>786</v>
      </c>
      <c r="D294" t="s">
        <v>787</v>
      </c>
    </row>
    <row r="295" spans="1:4" x14ac:dyDescent="0.3">
      <c r="A295">
        <v>294</v>
      </c>
      <c r="B295" t="s">
        <v>782</v>
      </c>
      <c r="C295" t="s">
        <v>788</v>
      </c>
      <c r="D295" t="s">
        <v>789</v>
      </c>
    </row>
    <row r="296" spans="1:4" x14ac:dyDescent="0.3">
      <c r="A296">
        <v>295</v>
      </c>
      <c r="B296" t="s">
        <v>782</v>
      </c>
      <c r="C296" t="s">
        <v>790</v>
      </c>
      <c r="D296" t="s">
        <v>791</v>
      </c>
    </row>
    <row r="297" spans="1:4" x14ac:dyDescent="0.3">
      <c r="A297">
        <v>296</v>
      </c>
      <c r="B297" t="s">
        <v>782</v>
      </c>
      <c r="C297" t="s">
        <v>792</v>
      </c>
      <c r="D297" t="s">
        <v>793</v>
      </c>
    </row>
    <row r="298" spans="1:4" x14ac:dyDescent="0.3">
      <c r="A298">
        <v>297</v>
      </c>
      <c r="B298" t="s">
        <v>782</v>
      </c>
      <c r="C298" t="s">
        <v>794</v>
      </c>
      <c r="D298" t="s">
        <v>795</v>
      </c>
    </row>
    <row r="299" spans="1:4" x14ac:dyDescent="0.3">
      <c r="A299">
        <v>298</v>
      </c>
      <c r="B299" t="s">
        <v>782</v>
      </c>
      <c r="C299" t="s">
        <v>796</v>
      </c>
      <c r="D299" t="s">
        <v>797</v>
      </c>
    </row>
    <row r="300" spans="1:4" x14ac:dyDescent="0.3">
      <c r="A300">
        <v>299</v>
      </c>
      <c r="B300" t="s">
        <v>782</v>
      </c>
      <c r="C300" t="s">
        <v>798</v>
      </c>
      <c r="D300" t="s">
        <v>799</v>
      </c>
    </row>
    <row r="301" spans="1:4" x14ac:dyDescent="0.3">
      <c r="A301">
        <v>300</v>
      </c>
      <c r="B301" t="s">
        <v>782</v>
      </c>
      <c r="C301" t="s">
        <v>800</v>
      </c>
      <c r="D301" t="s">
        <v>801</v>
      </c>
    </row>
    <row r="302" spans="1:4" x14ac:dyDescent="0.3">
      <c r="A302">
        <v>301</v>
      </c>
      <c r="B302" t="s">
        <v>782</v>
      </c>
      <c r="C302" t="s">
        <v>802</v>
      </c>
      <c r="D302" t="s">
        <v>803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313AE-AFAD-4AD1-A1B0-63F4BC149B1E}">
  <sheetPr codeName="Sheet11">
    <tabColor rgb="FFFFFF00"/>
  </sheetPr>
  <dimension ref="A1:D1"/>
  <sheetViews>
    <sheetView topLeftCell="A64" workbookViewId="0">
      <selection activeCell="D67" sqref="D67"/>
    </sheetView>
  </sheetViews>
  <sheetFormatPr defaultRowHeight="14.4" x14ac:dyDescent="0.3"/>
  <cols>
    <col min="1" max="1" width="3.88671875" style="10" bestFit="1" customWidth="1"/>
    <col min="2" max="2" width="39.33203125" style="10" customWidth="1"/>
    <col min="3" max="3" width="28.77734375" style="10" customWidth="1"/>
    <col min="4" max="4" width="73.33203125" style="10" bestFit="1" customWidth="1"/>
    <col min="5" max="16384" width="8.88671875" style="12"/>
  </cols>
  <sheetData>
    <row r="1" spans="1:4" x14ac:dyDescent="0.3">
      <c r="A1" s="11" t="s">
        <v>13</v>
      </c>
      <c r="B1" s="11" t="s">
        <v>108</v>
      </c>
      <c r="C1" s="11" t="s">
        <v>44</v>
      </c>
      <c r="D1" s="11" t="s">
        <v>109</v>
      </c>
    </row>
  </sheetData>
  <autoFilter ref="A1:D1" xr:uid="{34F313AE-AFAD-4AD1-A1B0-63F4BC149B1E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60E76-15E9-4D29-A616-64C8D0F4780D}">
  <sheetPr codeName="Sheet12">
    <tabColor rgb="FFFF0000"/>
  </sheetPr>
  <dimension ref="A1:D13"/>
  <sheetViews>
    <sheetView workbookViewId="0">
      <selection activeCell="A2" sqref="A2:XFD4"/>
    </sheetView>
  </sheetViews>
  <sheetFormatPr defaultRowHeight="14.4" x14ac:dyDescent="0.3"/>
  <cols>
    <col min="1" max="1" width="3.88671875" bestFit="1" customWidth="1"/>
    <col min="2" max="2" width="121.44140625" bestFit="1" customWidth="1"/>
    <col min="3" max="3" width="42.2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</row>
    <row r="2" spans="1:4" x14ac:dyDescent="0.3">
      <c r="A2">
        <v>1</v>
      </c>
      <c r="B2" t="s">
        <v>153</v>
      </c>
      <c r="C2" t="s">
        <v>154</v>
      </c>
      <c r="D2" t="s">
        <v>142</v>
      </c>
    </row>
    <row r="3" spans="1:4" x14ac:dyDescent="0.3">
      <c r="A3">
        <v>2</v>
      </c>
      <c r="B3" t="s">
        <v>155</v>
      </c>
      <c r="C3" t="s">
        <v>156</v>
      </c>
      <c r="D3" t="s">
        <v>142</v>
      </c>
    </row>
    <row r="4" spans="1:4" x14ac:dyDescent="0.3">
      <c r="A4">
        <v>3</v>
      </c>
      <c r="B4" t="s">
        <v>157</v>
      </c>
      <c r="C4" t="s">
        <v>158</v>
      </c>
      <c r="D4" t="s">
        <v>142</v>
      </c>
    </row>
    <row r="5" spans="1:4" x14ac:dyDescent="0.3">
      <c r="A5">
        <v>4</v>
      </c>
      <c r="B5" t="s">
        <v>159</v>
      </c>
      <c r="C5" t="s">
        <v>160</v>
      </c>
      <c r="D5" t="s">
        <v>142</v>
      </c>
    </row>
    <row r="6" spans="1:4" x14ac:dyDescent="0.3">
      <c r="A6">
        <v>5</v>
      </c>
      <c r="B6" t="s">
        <v>161</v>
      </c>
      <c r="C6" t="s">
        <v>162</v>
      </c>
      <c r="D6" t="s">
        <v>142</v>
      </c>
    </row>
    <row r="7" spans="1:4" x14ac:dyDescent="0.3">
      <c r="A7">
        <v>6</v>
      </c>
      <c r="B7" t="s">
        <v>163</v>
      </c>
      <c r="C7" t="s">
        <v>164</v>
      </c>
      <c r="D7" t="s">
        <v>142</v>
      </c>
    </row>
    <row r="8" spans="1:4" x14ac:dyDescent="0.3">
      <c r="A8">
        <v>7</v>
      </c>
      <c r="B8" t="s">
        <v>163</v>
      </c>
      <c r="C8" t="s">
        <v>165</v>
      </c>
      <c r="D8" t="s">
        <v>142</v>
      </c>
    </row>
    <row r="9" spans="1:4" x14ac:dyDescent="0.3">
      <c r="A9">
        <v>8</v>
      </c>
      <c r="B9" t="s">
        <v>163</v>
      </c>
      <c r="C9" t="s">
        <v>166</v>
      </c>
      <c r="D9" t="s">
        <v>142</v>
      </c>
    </row>
    <row r="10" spans="1:4" x14ac:dyDescent="0.3">
      <c r="A10">
        <v>9</v>
      </c>
      <c r="B10" t="s">
        <v>163</v>
      </c>
      <c r="C10" t="s">
        <v>167</v>
      </c>
      <c r="D10" t="s">
        <v>142</v>
      </c>
    </row>
    <row r="11" spans="1:4" x14ac:dyDescent="0.3">
      <c r="A11">
        <v>10</v>
      </c>
      <c r="B11" t="s">
        <v>163</v>
      </c>
      <c r="C11" t="s">
        <v>168</v>
      </c>
      <c r="D11" t="s">
        <v>142</v>
      </c>
    </row>
    <row r="12" spans="1:4" x14ac:dyDescent="0.3">
      <c r="A12">
        <v>11</v>
      </c>
      <c r="B12" t="s">
        <v>169</v>
      </c>
      <c r="C12" t="s">
        <v>170</v>
      </c>
      <c r="D12" t="s">
        <v>142</v>
      </c>
    </row>
    <row r="13" spans="1:4" x14ac:dyDescent="0.3">
      <c r="A13">
        <v>12</v>
      </c>
      <c r="B13" t="s">
        <v>171</v>
      </c>
      <c r="C13" t="s">
        <v>172</v>
      </c>
      <c r="D13" t="s">
        <v>142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85F67-8804-4E36-A746-28DDDE53380B}">
  <sheetPr codeName="Sheet10">
    <tabColor theme="9"/>
  </sheetPr>
  <dimension ref="A1:G12"/>
  <sheetViews>
    <sheetView workbookViewId="0">
      <selection activeCell="E5" sqref="E5"/>
    </sheetView>
  </sheetViews>
  <sheetFormatPr defaultRowHeight="14.4" x14ac:dyDescent="0.3"/>
  <cols>
    <col min="1" max="2" width="8.88671875" style="10"/>
    <col min="3" max="3" width="52.88671875" style="10" customWidth="1"/>
    <col min="4" max="4" width="19.109375" style="10" bestFit="1" customWidth="1"/>
    <col min="5" max="5" width="64.5546875" style="10" customWidth="1"/>
    <col min="6" max="6" width="27.33203125" style="10" customWidth="1"/>
    <col min="7" max="7" width="8.88671875" style="10"/>
  </cols>
  <sheetData>
    <row r="1" spans="1:6" x14ac:dyDescent="0.3">
      <c r="A1" s="11" t="s">
        <v>13</v>
      </c>
      <c r="B1" s="11" t="s">
        <v>98</v>
      </c>
      <c r="C1" s="11" t="s">
        <v>43</v>
      </c>
      <c r="D1" s="11" t="s">
        <v>96</v>
      </c>
      <c r="E1" s="11"/>
      <c r="F1" s="11"/>
    </row>
    <row r="2" spans="1:6" ht="57.6" x14ac:dyDescent="0.3">
      <c r="A2" s="10">
        <v>1</v>
      </c>
      <c r="B2" s="10" t="s">
        <v>0</v>
      </c>
      <c r="C2" s="10" t="s">
        <v>95</v>
      </c>
      <c r="D2" s="10" t="s">
        <v>1</v>
      </c>
      <c r="E2" s="10" t="str">
        <f>"mklink /J """&amp;C2&amp;"\"&amp;D2&amp;""" """&amp;F2&amp;"\"&amp;D2&amp;""""</f>
        <v>mklink /J "C:\Users\nguye\AppData\Roaming\MetaQuotes\Terminal\D0E8209F77C8CF37AD8BF550E51FF075\MQL5\Experts\Alexander Fedosov" "D:\MT5-Dev\Experts\Alexander Fedosov"</v>
      </c>
      <c r="F2" s="10" t="s">
        <v>97</v>
      </c>
    </row>
    <row r="3" spans="1:6" ht="57.6" x14ac:dyDescent="0.3">
      <c r="A3" s="10">
        <v>2</v>
      </c>
      <c r="B3" s="10" t="s">
        <v>0</v>
      </c>
      <c r="C3" s="10" t="s">
        <v>95</v>
      </c>
      <c r="D3" s="10" t="s">
        <v>99</v>
      </c>
      <c r="E3" s="10" t="str">
        <f t="shared" ref="E3:E12" si="0">"mklink /J """&amp;C3&amp;"\"&amp;D3&amp;""" """&amp;F3&amp;"\"&amp;D3&amp;""""</f>
        <v>mklink /J "C:\Users\nguye\AppData\Roaming\MetaQuotes\Terminal\D0E8209F77C8CF37AD8BF550E51FF075\MQL5\Experts\Allan Munene Mutiiria" "D:\MT5-Dev\Experts\Allan Munene Mutiiria"</v>
      </c>
      <c r="F3" s="10" t="s">
        <v>97</v>
      </c>
    </row>
    <row r="4" spans="1:6" ht="57.6" x14ac:dyDescent="0.3">
      <c r="A4" s="10">
        <v>3</v>
      </c>
      <c r="B4" s="10" t="s">
        <v>0</v>
      </c>
      <c r="C4" s="10" t="s">
        <v>95</v>
      </c>
      <c r="D4" s="10" t="s">
        <v>11</v>
      </c>
      <c r="E4" s="10" t="str">
        <f t="shared" si="0"/>
        <v>mklink /J "C:\Users\nguye\AppData\Roaming\MetaQuotes\Terminal\D0E8209F77C8CF37AD8BF550E51FF075\MQL5\Experts\Anatoli Kazharski" "D:\MT5-Dev\Experts\Anatoli Kazharski"</v>
      </c>
      <c r="F4" s="10" t="s">
        <v>97</v>
      </c>
    </row>
    <row r="5" spans="1:6" ht="43.2" x14ac:dyDescent="0.3">
      <c r="A5" s="10">
        <v>4</v>
      </c>
      <c r="B5" s="10" t="s">
        <v>0</v>
      </c>
      <c r="C5" s="10" t="s">
        <v>95</v>
      </c>
      <c r="D5" s="10" t="s">
        <v>101</v>
      </c>
      <c r="E5" s="10" t="str">
        <f t="shared" si="0"/>
        <v>mklink /J "C:\Users\nguye\AppData\Roaming\MetaQuotes\Terminal\D0E8209F77C8CF37AD8BF550E51FF075\MQL5\Experts\Anhnt" "D:\MT5-Dev\Experts\Anhnt"</v>
      </c>
      <c r="F5" s="10" t="s">
        <v>97</v>
      </c>
    </row>
    <row r="6" spans="1:6" ht="57.6" x14ac:dyDescent="0.3">
      <c r="A6" s="10">
        <v>5</v>
      </c>
      <c r="B6" s="10" t="s">
        <v>0</v>
      </c>
      <c r="C6" s="10" t="s">
        <v>95</v>
      </c>
      <c r="D6" s="10" t="s">
        <v>15</v>
      </c>
      <c r="E6" s="10" t="str">
        <f t="shared" si="0"/>
        <v>mklink /J "C:\Users\nguye\AppData\Roaming\MetaQuotes\Terminal\D0E8209F77C8CF37AD8BF550E51FF075\MQL5\Experts\Artyom Trishkin" "D:\MT5-Dev\Experts\Artyom Trishkin"</v>
      </c>
      <c r="F6" s="10" t="s">
        <v>97</v>
      </c>
    </row>
    <row r="7" spans="1:6" ht="57.6" x14ac:dyDescent="0.3">
      <c r="A7" s="10">
        <v>6</v>
      </c>
      <c r="B7" s="10" t="s">
        <v>0</v>
      </c>
      <c r="C7" s="10" t="s">
        <v>95</v>
      </c>
      <c r="D7" s="10" t="s">
        <v>102</v>
      </c>
      <c r="E7" s="10" t="str">
        <f t="shared" si="0"/>
        <v>mklink /J "C:\Users\nguye\AppData\Roaming\MetaQuotes\Terminal\D0E8209F77C8CF37AD8BF550E51FF075\MQL5\Experts\Chacha Ian Maroa" "D:\MT5-Dev\Experts\Chacha Ian Maroa"</v>
      </c>
      <c r="F7" s="10" t="s">
        <v>97</v>
      </c>
    </row>
    <row r="8" spans="1:6" ht="57.6" x14ac:dyDescent="0.3">
      <c r="A8" s="10">
        <v>7</v>
      </c>
      <c r="B8" s="10" t="s">
        <v>0</v>
      </c>
      <c r="C8" s="10" t="s">
        <v>95</v>
      </c>
      <c r="D8" s="10" t="s">
        <v>103</v>
      </c>
      <c r="E8" s="10" t="str">
        <f t="shared" si="0"/>
        <v>mklink /J "C:\Users\nguye\AppData\Roaming\MetaQuotes\Terminal\D0E8209F77C8CF37AD8BF550E51FF075\MQL5\Experts\Christian Benjamin" "D:\MT5-Dev\Experts\Christian Benjamin"</v>
      </c>
      <c r="F8" s="10" t="s">
        <v>97</v>
      </c>
    </row>
    <row r="9" spans="1:6" ht="57.6" x14ac:dyDescent="0.3">
      <c r="A9" s="10">
        <v>8</v>
      </c>
      <c r="B9" s="10" t="s">
        <v>0</v>
      </c>
      <c r="C9" s="10" t="s">
        <v>95</v>
      </c>
      <c r="D9" s="10" t="s">
        <v>104</v>
      </c>
      <c r="E9" s="10" t="str">
        <f t="shared" si="0"/>
        <v>mklink /J "C:\Users\nguye\AppData\Roaming\MetaQuotes\Terminal\D0E8209F77C8CF37AD8BF550E51FF075\MQL5\Experts\Clemence Benjamin" "D:\MT5-Dev\Experts\Clemence Benjamin"</v>
      </c>
      <c r="F9" s="10" t="s">
        <v>97</v>
      </c>
    </row>
    <row r="10" spans="1:6" ht="57.6" x14ac:dyDescent="0.3">
      <c r="A10" s="10">
        <v>9</v>
      </c>
      <c r="B10" s="10" t="s">
        <v>0</v>
      </c>
      <c r="C10" s="10" t="s">
        <v>95</v>
      </c>
      <c r="D10" s="10" t="s">
        <v>105</v>
      </c>
      <c r="E10" s="10" t="str">
        <f t="shared" si="0"/>
        <v>mklink /J "C:\Users\nguye\AppData\Roaming\MetaQuotes\Terminal\D0E8209F77C8CF37AD8BF550E51FF075\MQL5\Experts\Dmitry Voronkov" "D:\MT5-Dev\Experts\Dmitry Voronkov"</v>
      </c>
      <c r="F10" s="10" t="s">
        <v>97</v>
      </c>
    </row>
    <row r="11" spans="1:6" ht="57.6" x14ac:dyDescent="0.3">
      <c r="A11" s="10">
        <v>10</v>
      </c>
      <c r="B11" s="10" t="s">
        <v>0</v>
      </c>
      <c r="C11" s="10" t="s">
        <v>95</v>
      </c>
      <c r="D11" s="10" t="s">
        <v>106</v>
      </c>
      <c r="E11" s="10" t="str">
        <f t="shared" si="0"/>
        <v>mklink /J "C:\Users\nguye\AppData\Roaming\MetaQuotes\Terminal\D0E8209F77C8CF37AD8BF550E51FF075\MQL5\Experts\Hlomohang John Borotho" "D:\MT5-Dev\Experts\Hlomohang John Borotho"</v>
      </c>
      <c r="F11" s="10" t="s">
        <v>97</v>
      </c>
    </row>
    <row r="12" spans="1:6" ht="57.6" x14ac:dyDescent="0.3">
      <c r="B12" s="10" t="s">
        <v>0</v>
      </c>
      <c r="C12" s="10" t="s">
        <v>95</v>
      </c>
      <c r="D12" s="10" t="s">
        <v>107</v>
      </c>
      <c r="E12" s="10" t="str">
        <f t="shared" si="0"/>
        <v>mklink /J "C:\Users\nguye\AppData\Roaming\MetaQuotes\Terminal\D0E8209F77C8CF37AD8BF550E51FF075\MQL5\Experts\joaopedrodev" "D:\MT5-Dev\Experts\joaopedrodev"</v>
      </c>
      <c r="F12" s="10" t="s">
        <v>97</v>
      </c>
    </row>
  </sheetData>
  <conditionalFormatting sqref="A1:F1048576">
    <cfRule type="expression" dxfId="1" priority="3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B5B40-94A3-4421-BFB7-153F1217A494}">
  <sheetPr codeName="Sheet8">
    <tabColor rgb="FF00B050"/>
  </sheetPr>
  <dimension ref="A1:G334"/>
  <sheetViews>
    <sheetView workbookViewId="0">
      <pane ySplit="1" topLeftCell="A66" activePane="bottomLeft" state="frozen"/>
      <selection pane="bottomLeft" activeCell="D70" sqref="D70"/>
    </sheetView>
  </sheetViews>
  <sheetFormatPr defaultRowHeight="14.4" x14ac:dyDescent="0.3"/>
  <cols>
    <col min="1" max="1" width="6.109375" style="10" bestFit="1" customWidth="1"/>
    <col min="2" max="2" width="46.88671875" style="10" customWidth="1"/>
    <col min="3" max="3" width="30.109375" style="10" bestFit="1" customWidth="1"/>
    <col min="4" max="4" width="47.5546875" style="10" customWidth="1"/>
    <col min="5" max="5" width="27.33203125" style="10" customWidth="1"/>
    <col min="6" max="6" width="43.109375" style="10" bestFit="1" customWidth="1"/>
    <col min="7" max="7" width="50.77734375" style="10" customWidth="1"/>
    <col min="8" max="8" width="30.77734375" customWidth="1"/>
  </cols>
  <sheetData>
    <row r="1" spans="1:7" s="9" customFormat="1" x14ac:dyDescent="0.3">
      <c r="A1" s="11" t="s">
        <v>13</v>
      </c>
      <c r="B1" s="11" t="s">
        <v>42</v>
      </c>
      <c r="C1" s="11" t="s">
        <v>117</v>
      </c>
      <c r="D1" s="11" t="s">
        <v>41</v>
      </c>
      <c r="E1" s="11" t="s">
        <v>40</v>
      </c>
      <c r="F1" s="11" t="s">
        <v>116</v>
      </c>
      <c r="G1" s="11" t="s">
        <v>118</v>
      </c>
    </row>
    <row r="2" spans="1:7" ht="28.8" x14ac:dyDescent="0.3">
      <c r="A2" s="10">
        <v>1</v>
      </c>
      <c r="C2" s="10" t="s">
        <v>198</v>
      </c>
      <c r="D2" s="10" t="s">
        <v>804</v>
      </c>
      <c r="F2" s="10" t="s">
        <v>805</v>
      </c>
      <c r="G2" s="10" t="s">
        <v>806</v>
      </c>
    </row>
    <row r="3" spans="1:7" ht="28.8" x14ac:dyDescent="0.3">
      <c r="A3" s="10">
        <v>2</v>
      </c>
      <c r="C3" s="10" t="s">
        <v>198</v>
      </c>
      <c r="D3" s="10" t="s">
        <v>804</v>
      </c>
      <c r="F3" s="10" t="s">
        <v>805</v>
      </c>
      <c r="G3" s="10" t="s">
        <v>806</v>
      </c>
    </row>
    <row r="4" spans="1:7" ht="28.8" x14ac:dyDescent="0.3">
      <c r="A4" s="10">
        <v>3</v>
      </c>
      <c r="C4" s="10" t="s">
        <v>200</v>
      </c>
      <c r="F4" s="10" t="s">
        <v>807</v>
      </c>
      <c r="G4" s="10" t="s">
        <v>808</v>
      </c>
    </row>
    <row r="5" spans="1:7" ht="28.8" x14ac:dyDescent="0.3">
      <c r="A5" s="10">
        <v>4</v>
      </c>
      <c r="C5" s="10" t="s">
        <v>202</v>
      </c>
      <c r="F5" s="10" t="s">
        <v>809</v>
      </c>
      <c r="G5" s="10" t="s">
        <v>810</v>
      </c>
    </row>
    <row r="6" spans="1:7" ht="28.8" x14ac:dyDescent="0.3">
      <c r="A6" s="10">
        <v>5</v>
      </c>
      <c r="C6" s="10" t="s">
        <v>204</v>
      </c>
      <c r="F6" s="10" t="s">
        <v>811</v>
      </c>
      <c r="G6" s="10" t="s">
        <v>812</v>
      </c>
    </row>
    <row r="7" spans="1:7" ht="28.8" x14ac:dyDescent="0.3">
      <c r="A7" s="10">
        <v>6</v>
      </c>
      <c r="C7" s="10" t="s">
        <v>206</v>
      </c>
      <c r="D7" s="10" t="s">
        <v>813</v>
      </c>
      <c r="F7" s="10" t="s">
        <v>814</v>
      </c>
      <c r="G7" s="10" t="s">
        <v>815</v>
      </c>
    </row>
    <row r="8" spans="1:7" ht="28.8" x14ac:dyDescent="0.3">
      <c r="A8" s="10">
        <v>7</v>
      </c>
      <c r="C8" s="10" t="s">
        <v>208</v>
      </c>
      <c r="F8" s="10" t="s">
        <v>816</v>
      </c>
      <c r="G8" s="10" t="s">
        <v>817</v>
      </c>
    </row>
    <row r="9" spans="1:7" ht="28.8" x14ac:dyDescent="0.3">
      <c r="A9" s="10">
        <v>8</v>
      </c>
      <c r="C9" s="10" t="s">
        <v>210</v>
      </c>
      <c r="F9" s="10" t="s">
        <v>818</v>
      </c>
      <c r="G9" s="10" t="s">
        <v>819</v>
      </c>
    </row>
    <row r="10" spans="1:7" ht="28.8" x14ac:dyDescent="0.3">
      <c r="A10" s="10">
        <v>9</v>
      </c>
      <c r="C10" s="10" t="s">
        <v>212</v>
      </c>
      <c r="F10" s="10" t="s">
        <v>820</v>
      </c>
      <c r="G10" s="10" t="s">
        <v>821</v>
      </c>
    </row>
    <row r="11" spans="1:7" ht="28.8" x14ac:dyDescent="0.3">
      <c r="A11" s="10">
        <v>10</v>
      </c>
      <c r="C11" s="10" t="s">
        <v>214</v>
      </c>
      <c r="F11" s="10" t="s">
        <v>822</v>
      </c>
      <c r="G11" s="10" t="s">
        <v>823</v>
      </c>
    </row>
    <row r="12" spans="1:7" ht="28.8" x14ac:dyDescent="0.3">
      <c r="A12" s="10">
        <v>11</v>
      </c>
      <c r="C12" s="10" t="s">
        <v>196</v>
      </c>
      <c r="D12" s="10" t="s">
        <v>824</v>
      </c>
      <c r="E12" s="10" t="s">
        <v>825</v>
      </c>
      <c r="F12" s="10" t="s">
        <v>826</v>
      </c>
      <c r="G12" s="10" t="s">
        <v>827</v>
      </c>
    </row>
    <row r="13" spans="1:7" ht="28.8" x14ac:dyDescent="0.3">
      <c r="A13" s="10">
        <v>12</v>
      </c>
      <c r="C13" s="10" t="s">
        <v>217</v>
      </c>
      <c r="D13" s="10" t="s">
        <v>828</v>
      </c>
      <c r="E13" s="10" t="s">
        <v>824</v>
      </c>
      <c r="F13" s="10" t="s">
        <v>829</v>
      </c>
      <c r="G13" s="10" t="s">
        <v>830</v>
      </c>
    </row>
    <row r="14" spans="1:7" ht="28.8" x14ac:dyDescent="0.3">
      <c r="A14" s="10">
        <v>13</v>
      </c>
      <c r="B14" s="10" t="s">
        <v>831</v>
      </c>
      <c r="C14" s="10" t="s">
        <v>185</v>
      </c>
      <c r="D14" s="10" t="s">
        <v>832</v>
      </c>
      <c r="E14" s="10" t="s">
        <v>825</v>
      </c>
      <c r="F14" s="10" t="s">
        <v>833</v>
      </c>
      <c r="G14" s="10" t="s">
        <v>834</v>
      </c>
    </row>
    <row r="15" spans="1:7" ht="28.8" x14ac:dyDescent="0.3">
      <c r="A15" s="10">
        <v>14</v>
      </c>
      <c r="B15" s="10" t="s">
        <v>831</v>
      </c>
      <c r="C15" s="10" t="s">
        <v>186</v>
      </c>
      <c r="D15" s="10" t="s">
        <v>835</v>
      </c>
      <c r="E15" s="10" t="s">
        <v>132</v>
      </c>
      <c r="F15" s="10" t="s">
        <v>836</v>
      </c>
      <c r="G15" s="10" t="s">
        <v>837</v>
      </c>
    </row>
    <row r="16" spans="1:7" ht="28.8" x14ac:dyDescent="0.3">
      <c r="A16" s="10">
        <v>15</v>
      </c>
      <c r="B16" s="10" t="s">
        <v>831</v>
      </c>
      <c r="C16" s="10" t="s">
        <v>187</v>
      </c>
      <c r="D16" s="10" t="s">
        <v>838</v>
      </c>
      <c r="E16" s="10" t="s">
        <v>131</v>
      </c>
      <c r="F16" s="10" t="s">
        <v>839</v>
      </c>
      <c r="G16" s="10" t="s">
        <v>840</v>
      </c>
    </row>
    <row r="17" spans="1:7" ht="28.8" x14ac:dyDescent="0.3">
      <c r="A17" s="10">
        <v>16</v>
      </c>
      <c r="B17" s="10" t="s">
        <v>831</v>
      </c>
      <c r="C17" s="10" t="s">
        <v>223</v>
      </c>
      <c r="D17" s="10" t="s">
        <v>841</v>
      </c>
      <c r="E17" s="10" t="s">
        <v>825</v>
      </c>
      <c r="F17" s="10" t="s">
        <v>842</v>
      </c>
      <c r="G17" s="10" t="s">
        <v>843</v>
      </c>
    </row>
    <row r="18" spans="1:7" ht="28.8" x14ac:dyDescent="0.3">
      <c r="A18" s="10">
        <v>17</v>
      </c>
      <c r="B18" s="10" t="s">
        <v>831</v>
      </c>
      <c r="C18" s="10" t="s">
        <v>188</v>
      </c>
      <c r="D18" s="10" t="s">
        <v>844</v>
      </c>
      <c r="E18" s="10" t="s">
        <v>825</v>
      </c>
      <c r="F18" s="10" t="s">
        <v>845</v>
      </c>
      <c r="G18" s="10" t="s">
        <v>846</v>
      </c>
    </row>
    <row r="19" spans="1:7" ht="28.8" x14ac:dyDescent="0.3">
      <c r="A19" s="10">
        <v>18</v>
      </c>
      <c r="B19" s="10" t="s">
        <v>831</v>
      </c>
      <c r="C19" s="10" t="s">
        <v>226</v>
      </c>
      <c r="D19" s="10" t="s">
        <v>847</v>
      </c>
      <c r="E19" s="10" t="s">
        <v>131</v>
      </c>
      <c r="F19" s="10" t="s">
        <v>848</v>
      </c>
      <c r="G19" s="10" t="s">
        <v>849</v>
      </c>
    </row>
    <row r="20" spans="1:7" ht="28.8" x14ac:dyDescent="0.3">
      <c r="A20" s="10">
        <v>19</v>
      </c>
      <c r="B20" s="10" t="s">
        <v>831</v>
      </c>
      <c r="C20" s="10" t="s">
        <v>226</v>
      </c>
      <c r="D20" s="10" t="s">
        <v>850</v>
      </c>
      <c r="E20" s="10" t="s">
        <v>132</v>
      </c>
      <c r="F20" s="10" t="s">
        <v>848</v>
      </c>
      <c r="G20" s="10" t="s">
        <v>849</v>
      </c>
    </row>
    <row r="21" spans="1:7" ht="28.8" x14ac:dyDescent="0.3">
      <c r="A21" s="10">
        <v>20</v>
      </c>
      <c r="B21" s="10" t="s">
        <v>831</v>
      </c>
      <c r="C21" s="10" t="s">
        <v>189</v>
      </c>
      <c r="D21" s="10" t="s">
        <v>851</v>
      </c>
      <c r="E21" s="10" t="s">
        <v>131</v>
      </c>
      <c r="F21" s="10" t="s">
        <v>852</v>
      </c>
      <c r="G21" s="10" t="s">
        <v>853</v>
      </c>
    </row>
    <row r="22" spans="1:7" ht="28.8" x14ac:dyDescent="0.3">
      <c r="A22" s="10">
        <v>21</v>
      </c>
      <c r="B22" s="10" t="s">
        <v>831</v>
      </c>
      <c r="C22" s="10" t="s">
        <v>190</v>
      </c>
      <c r="D22" s="10" t="s">
        <v>854</v>
      </c>
      <c r="E22" s="10" t="s">
        <v>131</v>
      </c>
      <c r="F22" s="10" t="s">
        <v>855</v>
      </c>
      <c r="G22" s="10" t="s">
        <v>856</v>
      </c>
    </row>
    <row r="23" spans="1:7" ht="28.8" x14ac:dyDescent="0.3">
      <c r="A23" s="10">
        <v>22</v>
      </c>
      <c r="B23" s="10" t="s">
        <v>831</v>
      </c>
      <c r="C23" s="10" t="s">
        <v>120</v>
      </c>
      <c r="D23" s="10" t="s">
        <v>130</v>
      </c>
      <c r="E23" s="10" t="s">
        <v>857</v>
      </c>
      <c r="F23" s="10" t="s">
        <v>858</v>
      </c>
      <c r="G23" s="10" t="s">
        <v>859</v>
      </c>
    </row>
    <row r="24" spans="1:7" ht="28.8" x14ac:dyDescent="0.3">
      <c r="A24" s="10">
        <v>23</v>
      </c>
      <c r="B24" s="10" t="s">
        <v>831</v>
      </c>
      <c r="C24" s="10" t="s">
        <v>191</v>
      </c>
      <c r="D24" s="10" t="s">
        <v>860</v>
      </c>
      <c r="E24" s="10" t="s">
        <v>131</v>
      </c>
      <c r="F24" s="10" t="s">
        <v>861</v>
      </c>
      <c r="G24" s="10" t="s">
        <v>862</v>
      </c>
    </row>
    <row r="25" spans="1:7" ht="28.8" x14ac:dyDescent="0.3">
      <c r="A25" s="10">
        <v>24</v>
      </c>
      <c r="B25" s="10" t="s">
        <v>831</v>
      </c>
      <c r="C25" s="10" t="s">
        <v>232</v>
      </c>
      <c r="D25" s="10" t="s">
        <v>863</v>
      </c>
      <c r="E25" s="10" t="s">
        <v>132</v>
      </c>
      <c r="F25" s="10" t="s">
        <v>864</v>
      </c>
      <c r="G25" s="10" t="s">
        <v>865</v>
      </c>
    </row>
    <row r="26" spans="1:7" ht="28.8" x14ac:dyDescent="0.3">
      <c r="A26" s="10">
        <v>25</v>
      </c>
      <c r="B26" s="10" t="s">
        <v>831</v>
      </c>
      <c r="C26" s="10" t="s">
        <v>192</v>
      </c>
      <c r="D26" s="10" t="s">
        <v>866</v>
      </c>
      <c r="E26" s="10" t="s">
        <v>131</v>
      </c>
      <c r="F26" s="10" t="s">
        <v>867</v>
      </c>
      <c r="G26" s="10" t="s">
        <v>868</v>
      </c>
    </row>
    <row r="27" spans="1:7" ht="28.8" x14ac:dyDescent="0.3">
      <c r="A27" s="10">
        <v>26</v>
      </c>
      <c r="B27" s="10" t="s">
        <v>831</v>
      </c>
      <c r="C27" s="10" t="s">
        <v>235</v>
      </c>
      <c r="D27" s="10" t="s">
        <v>869</v>
      </c>
      <c r="E27" s="10" t="s">
        <v>131</v>
      </c>
      <c r="F27" s="10" t="s">
        <v>870</v>
      </c>
      <c r="G27" s="10" t="s">
        <v>871</v>
      </c>
    </row>
    <row r="28" spans="1:7" ht="28.8" x14ac:dyDescent="0.3">
      <c r="A28" s="10">
        <v>27</v>
      </c>
      <c r="B28" s="10" t="s">
        <v>831</v>
      </c>
      <c r="C28" s="10" t="s">
        <v>235</v>
      </c>
      <c r="D28" s="10" t="s">
        <v>872</v>
      </c>
      <c r="F28" s="10" t="s">
        <v>870</v>
      </c>
      <c r="G28" s="10" t="s">
        <v>871</v>
      </c>
    </row>
    <row r="29" spans="1:7" ht="28.8" x14ac:dyDescent="0.3">
      <c r="A29" s="10">
        <v>28</v>
      </c>
      <c r="B29" s="10" t="s">
        <v>831</v>
      </c>
      <c r="C29" s="10" t="s">
        <v>193</v>
      </c>
      <c r="D29" s="10" t="s">
        <v>873</v>
      </c>
      <c r="E29" s="10" t="s">
        <v>825</v>
      </c>
      <c r="F29" s="10" t="s">
        <v>874</v>
      </c>
      <c r="G29" s="10" t="s">
        <v>875</v>
      </c>
    </row>
    <row r="30" spans="1:7" ht="28.8" x14ac:dyDescent="0.3">
      <c r="A30" s="10">
        <v>29</v>
      </c>
      <c r="B30" s="10" t="s">
        <v>831</v>
      </c>
      <c r="C30" s="10" t="s">
        <v>194</v>
      </c>
      <c r="D30" s="10" t="s">
        <v>876</v>
      </c>
      <c r="E30" s="10" t="s">
        <v>132</v>
      </c>
      <c r="F30" s="10" t="s">
        <v>877</v>
      </c>
      <c r="G30" s="10" t="s">
        <v>878</v>
      </c>
    </row>
    <row r="31" spans="1:7" ht="28.8" x14ac:dyDescent="0.3">
      <c r="A31" s="10">
        <v>30</v>
      </c>
      <c r="B31" s="10" t="s">
        <v>831</v>
      </c>
      <c r="C31" s="10" t="s">
        <v>195</v>
      </c>
      <c r="D31" s="10" t="s">
        <v>879</v>
      </c>
      <c r="E31" s="10" t="s">
        <v>825</v>
      </c>
      <c r="F31" s="10" t="s">
        <v>880</v>
      </c>
      <c r="G31" s="10" t="s">
        <v>881</v>
      </c>
    </row>
    <row r="32" spans="1:7" ht="28.8" x14ac:dyDescent="0.3">
      <c r="A32" s="10">
        <v>31</v>
      </c>
      <c r="B32" s="10" t="s">
        <v>882</v>
      </c>
      <c r="C32" s="10" t="s">
        <v>123</v>
      </c>
      <c r="D32" s="10" t="s">
        <v>883</v>
      </c>
      <c r="E32" s="10" t="s">
        <v>131</v>
      </c>
      <c r="F32" s="10" t="s">
        <v>884</v>
      </c>
      <c r="G32" s="10" t="s">
        <v>885</v>
      </c>
    </row>
    <row r="33" spans="1:7" ht="28.8" x14ac:dyDescent="0.3">
      <c r="A33" s="10">
        <v>32</v>
      </c>
      <c r="B33" s="10" t="s">
        <v>882</v>
      </c>
      <c r="C33" s="10" t="s">
        <v>123</v>
      </c>
      <c r="D33" s="10" t="s">
        <v>886</v>
      </c>
      <c r="E33" s="10" t="s">
        <v>131</v>
      </c>
      <c r="F33" s="10" t="s">
        <v>884</v>
      </c>
      <c r="G33" s="10" t="s">
        <v>885</v>
      </c>
    </row>
    <row r="34" spans="1:7" ht="28.8" x14ac:dyDescent="0.3">
      <c r="A34" s="10">
        <v>33</v>
      </c>
      <c r="B34" s="10" t="s">
        <v>882</v>
      </c>
      <c r="C34" s="10" t="s">
        <v>123</v>
      </c>
      <c r="D34" s="10" t="s">
        <v>132</v>
      </c>
      <c r="E34" s="10" t="s">
        <v>131</v>
      </c>
      <c r="F34" s="10" t="s">
        <v>884</v>
      </c>
      <c r="G34" s="10" t="s">
        <v>885</v>
      </c>
    </row>
    <row r="35" spans="1:7" ht="28.8" x14ac:dyDescent="0.3">
      <c r="A35" s="10">
        <v>34</v>
      </c>
      <c r="B35" s="10" t="s">
        <v>882</v>
      </c>
      <c r="C35" s="10" t="s">
        <v>123</v>
      </c>
      <c r="D35" s="10" t="s">
        <v>825</v>
      </c>
      <c r="E35" s="10" t="s">
        <v>132</v>
      </c>
      <c r="F35" s="10" t="s">
        <v>884</v>
      </c>
      <c r="G35" s="10" t="s">
        <v>885</v>
      </c>
    </row>
    <row r="36" spans="1:7" x14ac:dyDescent="0.3">
      <c r="A36" s="10">
        <v>35</v>
      </c>
      <c r="B36" s="10" t="s">
        <v>887</v>
      </c>
      <c r="C36" s="10" t="s">
        <v>243</v>
      </c>
      <c r="D36" s="10" t="s">
        <v>888</v>
      </c>
      <c r="E36" s="10" t="s">
        <v>825</v>
      </c>
    </row>
    <row r="37" spans="1:7" ht="28.8" x14ac:dyDescent="0.3">
      <c r="A37" s="10">
        <v>36</v>
      </c>
      <c r="B37" s="10" t="s">
        <v>889</v>
      </c>
      <c r="C37" s="10" t="s">
        <v>246</v>
      </c>
      <c r="D37" s="10" t="s">
        <v>890</v>
      </c>
      <c r="E37" s="10" t="s">
        <v>891</v>
      </c>
      <c r="F37" s="10" t="s">
        <v>892</v>
      </c>
      <c r="G37" s="10" t="s">
        <v>893</v>
      </c>
    </row>
    <row r="38" spans="1:7" ht="28.8" x14ac:dyDescent="0.3">
      <c r="A38" s="10">
        <v>37</v>
      </c>
      <c r="B38" s="10" t="s">
        <v>889</v>
      </c>
      <c r="C38" s="10" t="s">
        <v>248</v>
      </c>
      <c r="D38" s="10" t="s">
        <v>894</v>
      </c>
      <c r="E38" s="10" t="s">
        <v>891</v>
      </c>
      <c r="F38" s="10" t="s">
        <v>895</v>
      </c>
      <c r="G38" s="10" t="s">
        <v>896</v>
      </c>
    </row>
    <row r="39" spans="1:7" ht="28.8" x14ac:dyDescent="0.3">
      <c r="A39" s="10">
        <v>38</v>
      </c>
      <c r="B39" s="10" t="s">
        <v>889</v>
      </c>
      <c r="C39" s="10" t="s">
        <v>250</v>
      </c>
      <c r="D39" s="10" t="s">
        <v>891</v>
      </c>
      <c r="E39" s="10" t="s">
        <v>132</v>
      </c>
      <c r="F39" s="10" t="s">
        <v>897</v>
      </c>
      <c r="G39" s="10" t="s">
        <v>898</v>
      </c>
    </row>
    <row r="40" spans="1:7" ht="28.8" x14ac:dyDescent="0.3">
      <c r="A40" s="10">
        <v>39</v>
      </c>
      <c r="B40" s="10" t="s">
        <v>889</v>
      </c>
      <c r="C40" s="10" t="s">
        <v>252</v>
      </c>
      <c r="D40" s="10" t="s">
        <v>899</v>
      </c>
      <c r="E40" s="10" t="s">
        <v>891</v>
      </c>
      <c r="F40" s="10" t="s">
        <v>900</v>
      </c>
      <c r="G40" s="10" t="s">
        <v>901</v>
      </c>
    </row>
    <row r="41" spans="1:7" ht="28.8" x14ac:dyDescent="0.3">
      <c r="A41" s="10">
        <v>40</v>
      </c>
      <c r="B41" s="10" t="s">
        <v>889</v>
      </c>
      <c r="C41" s="10" t="s">
        <v>254</v>
      </c>
      <c r="D41" s="10" t="s">
        <v>902</v>
      </c>
      <c r="E41" s="10" t="s">
        <v>891</v>
      </c>
      <c r="F41" s="10" t="s">
        <v>903</v>
      </c>
      <c r="G41" s="10" t="s">
        <v>904</v>
      </c>
    </row>
    <row r="42" spans="1:7" ht="28.8" x14ac:dyDescent="0.3">
      <c r="A42" s="10">
        <v>41</v>
      </c>
      <c r="B42" s="10" t="s">
        <v>889</v>
      </c>
      <c r="C42" s="10" t="s">
        <v>256</v>
      </c>
      <c r="D42" s="10" t="s">
        <v>905</v>
      </c>
      <c r="E42" s="10" t="s">
        <v>132</v>
      </c>
      <c r="F42" s="10" t="s">
        <v>906</v>
      </c>
      <c r="G42" s="10" t="s">
        <v>907</v>
      </c>
    </row>
    <row r="43" spans="1:7" ht="28.8" x14ac:dyDescent="0.3">
      <c r="A43" s="10">
        <v>42</v>
      </c>
      <c r="B43" s="10" t="s">
        <v>889</v>
      </c>
      <c r="C43" s="10" t="s">
        <v>258</v>
      </c>
      <c r="D43" s="10" t="s">
        <v>908</v>
      </c>
      <c r="E43" s="10" t="s">
        <v>132</v>
      </c>
      <c r="F43" s="10" t="s">
        <v>909</v>
      </c>
      <c r="G43" s="10" t="s">
        <v>910</v>
      </c>
    </row>
    <row r="44" spans="1:7" ht="28.8" x14ac:dyDescent="0.3">
      <c r="A44" s="10">
        <v>43</v>
      </c>
      <c r="B44" s="10" t="s">
        <v>911</v>
      </c>
      <c r="C44" s="10" t="s">
        <v>261</v>
      </c>
      <c r="D44" s="10" t="s">
        <v>912</v>
      </c>
      <c r="E44" s="10" t="s">
        <v>825</v>
      </c>
      <c r="F44" s="10" t="s">
        <v>913</v>
      </c>
      <c r="G44" s="10" t="s">
        <v>914</v>
      </c>
    </row>
    <row r="45" spans="1:7" ht="28.8" x14ac:dyDescent="0.3">
      <c r="A45" s="10">
        <v>44</v>
      </c>
      <c r="B45" s="10" t="s">
        <v>911</v>
      </c>
      <c r="C45" s="10" t="s">
        <v>263</v>
      </c>
      <c r="D45" s="10" t="s">
        <v>915</v>
      </c>
      <c r="E45" s="10" t="s">
        <v>131</v>
      </c>
      <c r="F45" s="10" t="s">
        <v>916</v>
      </c>
      <c r="G45" s="10" t="s">
        <v>917</v>
      </c>
    </row>
    <row r="46" spans="1:7" ht="28.8" x14ac:dyDescent="0.3">
      <c r="A46" s="10">
        <v>45</v>
      </c>
      <c r="B46" s="10" t="s">
        <v>911</v>
      </c>
      <c r="C46" s="10" t="s">
        <v>263</v>
      </c>
      <c r="D46" s="10" t="s">
        <v>918</v>
      </c>
      <c r="E46" s="10" t="s">
        <v>825</v>
      </c>
      <c r="F46" s="10" t="s">
        <v>916</v>
      </c>
      <c r="G46" s="10" t="s">
        <v>917</v>
      </c>
    </row>
    <row r="47" spans="1:7" ht="28.8" x14ac:dyDescent="0.3">
      <c r="A47" s="10">
        <v>46</v>
      </c>
      <c r="B47" s="10" t="s">
        <v>919</v>
      </c>
      <c r="C47" s="10" t="s">
        <v>266</v>
      </c>
      <c r="D47" s="10" t="s">
        <v>920</v>
      </c>
      <c r="E47" s="10" t="s">
        <v>131</v>
      </c>
      <c r="F47" s="10" t="s">
        <v>921</v>
      </c>
      <c r="G47" s="10" t="s">
        <v>922</v>
      </c>
    </row>
    <row r="48" spans="1:7" ht="28.8" x14ac:dyDescent="0.3">
      <c r="A48" s="10">
        <v>47</v>
      </c>
      <c r="B48" s="10" t="s">
        <v>919</v>
      </c>
      <c r="C48" s="10" t="s">
        <v>268</v>
      </c>
      <c r="D48" s="10" t="s">
        <v>923</v>
      </c>
      <c r="E48" s="10" t="s">
        <v>920</v>
      </c>
      <c r="F48" s="10" t="s">
        <v>924</v>
      </c>
      <c r="G48" s="10" t="s">
        <v>925</v>
      </c>
    </row>
    <row r="49" spans="1:7" ht="28.8" x14ac:dyDescent="0.3">
      <c r="A49" s="10">
        <v>48</v>
      </c>
      <c r="B49" s="10" t="s">
        <v>919</v>
      </c>
      <c r="C49" s="10" t="s">
        <v>270</v>
      </c>
      <c r="D49" s="10" t="s">
        <v>926</v>
      </c>
      <c r="E49" s="10" t="s">
        <v>920</v>
      </c>
      <c r="F49" s="10" t="s">
        <v>927</v>
      </c>
      <c r="G49" s="10" t="s">
        <v>928</v>
      </c>
    </row>
    <row r="50" spans="1:7" ht="28.8" x14ac:dyDescent="0.3">
      <c r="A50" s="10">
        <v>49</v>
      </c>
      <c r="B50" s="10" t="s">
        <v>919</v>
      </c>
      <c r="C50" s="10" t="s">
        <v>272</v>
      </c>
      <c r="D50" s="10" t="s">
        <v>929</v>
      </c>
      <c r="E50" s="10" t="s">
        <v>920</v>
      </c>
      <c r="F50" s="10" t="s">
        <v>930</v>
      </c>
      <c r="G50" s="10" t="s">
        <v>931</v>
      </c>
    </row>
    <row r="51" spans="1:7" ht="28.8" x14ac:dyDescent="0.3">
      <c r="A51" s="10">
        <v>50</v>
      </c>
      <c r="B51" s="10" t="s">
        <v>919</v>
      </c>
      <c r="C51" s="10" t="s">
        <v>274</v>
      </c>
      <c r="D51" s="10" t="s">
        <v>932</v>
      </c>
      <c r="E51" s="10" t="s">
        <v>920</v>
      </c>
      <c r="F51" s="10" t="s">
        <v>933</v>
      </c>
      <c r="G51" s="10" t="s">
        <v>934</v>
      </c>
    </row>
    <row r="52" spans="1:7" ht="28.8" x14ac:dyDescent="0.3">
      <c r="A52" s="10">
        <v>51</v>
      </c>
      <c r="B52" s="10" t="s">
        <v>919</v>
      </c>
      <c r="C52" s="10" t="s">
        <v>276</v>
      </c>
      <c r="D52" s="10" t="s">
        <v>935</v>
      </c>
      <c r="E52" s="10" t="s">
        <v>920</v>
      </c>
      <c r="F52" s="10" t="s">
        <v>936</v>
      </c>
      <c r="G52" s="10" t="s">
        <v>937</v>
      </c>
    </row>
    <row r="53" spans="1:7" ht="28.8" x14ac:dyDescent="0.3">
      <c r="A53" s="10">
        <v>52</v>
      </c>
      <c r="B53" s="10" t="s">
        <v>919</v>
      </c>
      <c r="C53" s="10" t="s">
        <v>278</v>
      </c>
      <c r="D53" s="10" t="s">
        <v>938</v>
      </c>
      <c r="E53" s="10" t="s">
        <v>920</v>
      </c>
      <c r="F53" s="10" t="s">
        <v>939</v>
      </c>
      <c r="G53" s="10" t="s">
        <v>940</v>
      </c>
    </row>
    <row r="54" spans="1:7" ht="28.8" x14ac:dyDescent="0.3">
      <c r="A54" s="10">
        <v>53</v>
      </c>
      <c r="B54" s="10" t="s">
        <v>941</v>
      </c>
      <c r="C54" s="10" t="s">
        <v>281</v>
      </c>
      <c r="D54" s="10" t="s">
        <v>942</v>
      </c>
      <c r="E54" s="10" t="s">
        <v>943</v>
      </c>
      <c r="F54" s="10" t="s">
        <v>944</v>
      </c>
      <c r="G54" s="10" t="s">
        <v>945</v>
      </c>
    </row>
    <row r="55" spans="1:7" ht="28.8" x14ac:dyDescent="0.3">
      <c r="A55" s="10">
        <v>54</v>
      </c>
      <c r="B55" s="10" t="s">
        <v>941</v>
      </c>
      <c r="C55" s="10" t="s">
        <v>283</v>
      </c>
      <c r="D55" s="10" t="s">
        <v>946</v>
      </c>
      <c r="E55" s="10" t="s">
        <v>131</v>
      </c>
      <c r="F55" s="10" t="s">
        <v>947</v>
      </c>
      <c r="G55" s="10" t="s">
        <v>948</v>
      </c>
    </row>
    <row r="56" spans="1:7" ht="28.8" x14ac:dyDescent="0.3">
      <c r="A56" s="10">
        <v>55</v>
      </c>
      <c r="B56" s="10" t="s">
        <v>941</v>
      </c>
      <c r="C56" s="10" t="s">
        <v>283</v>
      </c>
      <c r="D56" s="10" t="s">
        <v>949</v>
      </c>
      <c r="E56" s="10" t="s">
        <v>131</v>
      </c>
      <c r="F56" s="10" t="s">
        <v>947</v>
      </c>
      <c r="G56" s="10" t="s">
        <v>948</v>
      </c>
    </row>
    <row r="57" spans="1:7" ht="28.8" x14ac:dyDescent="0.3">
      <c r="A57" s="10">
        <v>56</v>
      </c>
      <c r="B57" s="10" t="s">
        <v>941</v>
      </c>
      <c r="C57" s="10" t="s">
        <v>285</v>
      </c>
      <c r="D57" s="10" t="s">
        <v>950</v>
      </c>
      <c r="E57" s="10" t="s">
        <v>943</v>
      </c>
      <c r="F57" s="10" t="s">
        <v>951</v>
      </c>
      <c r="G57" s="10" t="s">
        <v>952</v>
      </c>
    </row>
    <row r="58" spans="1:7" ht="28.8" x14ac:dyDescent="0.3">
      <c r="A58" s="10">
        <v>57</v>
      </c>
      <c r="B58" s="10" t="s">
        <v>941</v>
      </c>
      <c r="C58" s="10" t="s">
        <v>287</v>
      </c>
      <c r="D58" s="10" t="s">
        <v>943</v>
      </c>
      <c r="E58" s="10" t="s">
        <v>949</v>
      </c>
      <c r="F58" s="10" t="s">
        <v>953</v>
      </c>
      <c r="G58" s="10" t="s">
        <v>954</v>
      </c>
    </row>
    <row r="59" spans="1:7" ht="28.8" x14ac:dyDescent="0.3">
      <c r="A59" s="10">
        <v>58</v>
      </c>
      <c r="B59" s="10" t="s">
        <v>941</v>
      </c>
      <c r="C59" s="10" t="s">
        <v>289</v>
      </c>
      <c r="D59" s="10" t="s">
        <v>955</v>
      </c>
      <c r="E59" s="10" t="s">
        <v>131</v>
      </c>
      <c r="F59" s="10" t="s">
        <v>956</v>
      </c>
      <c r="G59" s="10" t="s">
        <v>957</v>
      </c>
    </row>
    <row r="60" spans="1:7" ht="28.8" x14ac:dyDescent="0.3">
      <c r="A60" s="10">
        <v>59</v>
      </c>
      <c r="B60" s="10" t="s">
        <v>941</v>
      </c>
      <c r="C60" s="10" t="s">
        <v>291</v>
      </c>
      <c r="D60" s="10" t="s">
        <v>958</v>
      </c>
      <c r="E60" s="10" t="s">
        <v>943</v>
      </c>
      <c r="F60" s="10" t="s">
        <v>959</v>
      </c>
      <c r="G60" s="10" t="s">
        <v>960</v>
      </c>
    </row>
    <row r="61" spans="1:7" ht="28.8" x14ac:dyDescent="0.3">
      <c r="A61" s="10">
        <v>60</v>
      </c>
      <c r="B61" s="10" t="s">
        <v>961</v>
      </c>
      <c r="C61" s="10" t="s">
        <v>294</v>
      </c>
      <c r="D61" s="10" t="s">
        <v>962</v>
      </c>
      <c r="E61" s="10" t="s">
        <v>131</v>
      </c>
      <c r="F61" s="10" t="s">
        <v>963</v>
      </c>
      <c r="G61" s="10" t="s">
        <v>964</v>
      </c>
    </row>
    <row r="62" spans="1:7" ht="28.8" x14ac:dyDescent="0.3">
      <c r="A62" s="10">
        <v>61</v>
      </c>
      <c r="B62" s="10" t="s">
        <v>961</v>
      </c>
      <c r="C62" s="10" t="s">
        <v>296</v>
      </c>
      <c r="D62" s="10" t="s">
        <v>965</v>
      </c>
      <c r="E62" s="10" t="s">
        <v>131</v>
      </c>
      <c r="F62" s="10" t="s">
        <v>966</v>
      </c>
      <c r="G62" s="10" t="s">
        <v>967</v>
      </c>
    </row>
    <row r="63" spans="1:7" ht="28.8" x14ac:dyDescent="0.3">
      <c r="A63" s="10">
        <v>62</v>
      </c>
      <c r="B63" s="10" t="s">
        <v>961</v>
      </c>
      <c r="C63" s="10" t="s">
        <v>296</v>
      </c>
      <c r="D63" s="10" t="s">
        <v>968</v>
      </c>
      <c r="E63" s="10" t="s">
        <v>965</v>
      </c>
      <c r="F63" s="10" t="s">
        <v>966</v>
      </c>
      <c r="G63" s="10" t="s">
        <v>967</v>
      </c>
    </row>
    <row r="64" spans="1:7" ht="43.2" x14ac:dyDescent="0.3">
      <c r="A64" s="10">
        <v>63</v>
      </c>
      <c r="B64" s="10" t="s">
        <v>961</v>
      </c>
      <c r="C64" s="10" t="s">
        <v>298</v>
      </c>
      <c r="D64" s="10" t="s">
        <v>969</v>
      </c>
      <c r="E64" s="10" t="s">
        <v>968</v>
      </c>
      <c r="F64" s="10" t="s">
        <v>970</v>
      </c>
      <c r="G64" s="10" t="s">
        <v>971</v>
      </c>
    </row>
    <row r="65" spans="1:7" ht="28.8" x14ac:dyDescent="0.3">
      <c r="A65" s="10">
        <v>64</v>
      </c>
      <c r="B65" s="10" t="s">
        <v>961</v>
      </c>
      <c r="C65" s="10" t="s">
        <v>300</v>
      </c>
      <c r="D65" s="10" t="s">
        <v>972</v>
      </c>
      <c r="E65" s="10" t="s">
        <v>968</v>
      </c>
      <c r="F65" s="10" t="s">
        <v>973</v>
      </c>
      <c r="G65" s="10" t="s">
        <v>974</v>
      </c>
    </row>
    <row r="66" spans="1:7" ht="28.8" x14ac:dyDescent="0.3">
      <c r="A66" s="10">
        <v>65</v>
      </c>
      <c r="B66" s="10" t="s">
        <v>961</v>
      </c>
      <c r="C66" s="10" t="s">
        <v>302</v>
      </c>
      <c r="D66" s="10" t="s">
        <v>975</v>
      </c>
      <c r="E66" s="10" t="s">
        <v>968</v>
      </c>
      <c r="F66" s="10" t="s">
        <v>976</v>
      </c>
      <c r="G66" s="10" t="s">
        <v>977</v>
      </c>
    </row>
    <row r="67" spans="1:7" ht="43.2" x14ac:dyDescent="0.3">
      <c r="A67" s="10">
        <v>66</v>
      </c>
      <c r="B67" s="10" t="s">
        <v>978</v>
      </c>
      <c r="C67" s="10" t="s">
        <v>305</v>
      </c>
      <c r="D67" s="10" t="s">
        <v>979</v>
      </c>
      <c r="E67" s="10" t="s">
        <v>942</v>
      </c>
      <c r="F67" s="10" t="s">
        <v>980</v>
      </c>
      <c r="G67" s="10" t="s">
        <v>981</v>
      </c>
    </row>
    <row r="68" spans="1:7" ht="43.2" x14ac:dyDescent="0.3">
      <c r="A68" s="10">
        <v>67</v>
      </c>
      <c r="B68" s="10" t="s">
        <v>978</v>
      </c>
      <c r="C68" s="10" t="s">
        <v>305</v>
      </c>
      <c r="D68" s="10" t="s">
        <v>982</v>
      </c>
      <c r="E68" s="10" t="s">
        <v>131</v>
      </c>
      <c r="F68" s="10" t="s">
        <v>980</v>
      </c>
      <c r="G68" s="10" t="s">
        <v>981</v>
      </c>
    </row>
    <row r="69" spans="1:7" ht="43.2" x14ac:dyDescent="0.3">
      <c r="A69" s="10">
        <v>68</v>
      </c>
      <c r="B69" s="10" t="s">
        <v>983</v>
      </c>
      <c r="C69" s="10" t="s">
        <v>308</v>
      </c>
      <c r="D69" s="10" t="s">
        <v>984</v>
      </c>
      <c r="E69" s="10" t="s">
        <v>985</v>
      </c>
      <c r="F69" s="10" t="s">
        <v>986</v>
      </c>
      <c r="G69" s="10" t="s">
        <v>987</v>
      </c>
    </row>
    <row r="70" spans="1:7" ht="43.2" x14ac:dyDescent="0.3">
      <c r="A70" s="10">
        <v>69</v>
      </c>
      <c r="B70" s="10" t="s">
        <v>983</v>
      </c>
      <c r="C70" s="10" t="s">
        <v>310</v>
      </c>
      <c r="D70" s="10" t="s">
        <v>988</v>
      </c>
      <c r="E70" s="10" t="s">
        <v>985</v>
      </c>
      <c r="F70" s="10" t="s">
        <v>989</v>
      </c>
      <c r="G70" s="10" t="s">
        <v>990</v>
      </c>
    </row>
    <row r="71" spans="1:7" ht="43.2" x14ac:dyDescent="0.3">
      <c r="A71" s="10">
        <v>70</v>
      </c>
      <c r="B71" s="10" t="s">
        <v>983</v>
      </c>
      <c r="C71" s="10" t="s">
        <v>312</v>
      </c>
      <c r="D71" s="10" t="s">
        <v>991</v>
      </c>
      <c r="E71" s="10" t="s">
        <v>985</v>
      </c>
      <c r="F71" s="10" t="s">
        <v>992</v>
      </c>
      <c r="G71" s="10" t="s">
        <v>993</v>
      </c>
    </row>
    <row r="72" spans="1:7" ht="43.2" x14ac:dyDescent="0.3">
      <c r="A72" s="10">
        <v>71</v>
      </c>
      <c r="B72" s="10" t="s">
        <v>983</v>
      </c>
      <c r="C72" s="10" t="s">
        <v>314</v>
      </c>
      <c r="D72" s="10" t="s">
        <v>994</v>
      </c>
      <c r="E72" s="10" t="s">
        <v>985</v>
      </c>
      <c r="F72" s="10" t="s">
        <v>995</v>
      </c>
      <c r="G72" s="10" t="s">
        <v>996</v>
      </c>
    </row>
    <row r="73" spans="1:7" ht="57.6" x14ac:dyDescent="0.3">
      <c r="A73" s="10">
        <v>72</v>
      </c>
      <c r="B73" s="10" t="s">
        <v>983</v>
      </c>
      <c r="C73" s="10" t="s">
        <v>316</v>
      </c>
      <c r="D73" s="10" t="s">
        <v>997</v>
      </c>
      <c r="E73" s="10" t="s">
        <v>985</v>
      </c>
      <c r="F73" s="10" t="s">
        <v>998</v>
      </c>
      <c r="G73" s="10" t="s">
        <v>999</v>
      </c>
    </row>
    <row r="74" spans="1:7" ht="43.2" x14ac:dyDescent="0.3">
      <c r="A74" s="10">
        <v>73</v>
      </c>
      <c r="B74" s="10" t="s">
        <v>983</v>
      </c>
      <c r="C74" s="10" t="s">
        <v>318</v>
      </c>
      <c r="D74" s="10" t="s">
        <v>1000</v>
      </c>
      <c r="E74" s="10" t="s">
        <v>985</v>
      </c>
      <c r="F74" s="10" t="s">
        <v>1001</v>
      </c>
      <c r="G74" s="10" t="s">
        <v>1002</v>
      </c>
    </row>
    <row r="75" spans="1:7" ht="57.6" x14ac:dyDescent="0.3">
      <c r="A75" s="10">
        <v>74</v>
      </c>
      <c r="B75" s="10" t="s">
        <v>983</v>
      </c>
      <c r="C75" s="10" t="s">
        <v>320</v>
      </c>
      <c r="D75" s="10" t="s">
        <v>1003</v>
      </c>
      <c r="E75" s="10" t="s">
        <v>985</v>
      </c>
      <c r="F75" s="10" t="s">
        <v>1004</v>
      </c>
      <c r="G75" s="10" t="s">
        <v>1005</v>
      </c>
    </row>
    <row r="76" spans="1:7" ht="43.2" x14ac:dyDescent="0.3">
      <c r="A76" s="10">
        <v>75</v>
      </c>
      <c r="B76" s="10" t="s">
        <v>983</v>
      </c>
      <c r="C76" s="10" t="s">
        <v>322</v>
      </c>
      <c r="D76" s="10" t="s">
        <v>1006</v>
      </c>
      <c r="E76" s="10" t="s">
        <v>985</v>
      </c>
      <c r="F76" s="10" t="s">
        <v>1007</v>
      </c>
      <c r="G76" s="10" t="s">
        <v>1008</v>
      </c>
    </row>
    <row r="77" spans="1:7" ht="43.2" x14ac:dyDescent="0.3">
      <c r="A77" s="10">
        <v>76</v>
      </c>
      <c r="B77" s="10" t="s">
        <v>983</v>
      </c>
      <c r="C77" s="10" t="s">
        <v>324</v>
      </c>
      <c r="D77" s="10" t="s">
        <v>1009</v>
      </c>
      <c r="E77" s="10" t="s">
        <v>985</v>
      </c>
      <c r="F77" s="10" t="s">
        <v>1010</v>
      </c>
      <c r="G77" s="10" t="s">
        <v>1011</v>
      </c>
    </row>
    <row r="78" spans="1:7" ht="57.6" x14ac:dyDescent="0.3">
      <c r="A78" s="10">
        <v>77</v>
      </c>
      <c r="B78" s="10" t="s">
        <v>983</v>
      </c>
      <c r="C78" s="10" t="s">
        <v>326</v>
      </c>
      <c r="D78" s="10" t="s">
        <v>1012</v>
      </c>
      <c r="E78" s="10" t="s">
        <v>985</v>
      </c>
      <c r="F78" s="10" t="s">
        <v>1013</v>
      </c>
      <c r="G78" s="10" t="s">
        <v>1014</v>
      </c>
    </row>
    <row r="79" spans="1:7" ht="57.6" x14ac:dyDescent="0.3">
      <c r="A79" s="10">
        <v>78</v>
      </c>
      <c r="B79" s="10" t="s">
        <v>983</v>
      </c>
      <c r="C79" s="10" t="s">
        <v>328</v>
      </c>
      <c r="D79" s="10" t="s">
        <v>1015</v>
      </c>
      <c r="E79" s="10" t="s">
        <v>985</v>
      </c>
      <c r="F79" s="10" t="s">
        <v>1016</v>
      </c>
      <c r="G79" s="10" t="s">
        <v>1017</v>
      </c>
    </row>
    <row r="80" spans="1:7" ht="43.2" x14ac:dyDescent="0.3">
      <c r="A80" s="10">
        <v>79</v>
      </c>
      <c r="B80" s="10" t="s">
        <v>983</v>
      </c>
      <c r="C80" s="10" t="s">
        <v>330</v>
      </c>
      <c r="D80" s="10" t="s">
        <v>1018</v>
      </c>
      <c r="E80" s="10" t="s">
        <v>985</v>
      </c>
      <c r="F80" s="10" t="s">
        <v>1019</v>
      </c>
      <c r="G80" s="10" t="s">
        <v>1020</v>
      </c>
    </row>
    <row r="81" spans="1:7" ht="43.2" x14ac:dyDescent="0.3">
      <c r="A81" s="10">
        <v>80</v>
      </c>
      <c r="B81" s="10" t="s">
        <v>983</v>
      </c>
      <c r="C81" s="10" t="s">
        <v>332</v>
      </c>
      <c r="D81" s="10" t="s">
        <v>1021</v>
      </c>
      <c r="E81" s="10" t="s">
        <v>985</v>
      </c>
      <c r="F81" s="10" t="s">
        <v>1022</v>
      </c>
      <c r="G81" s="10" t="s">
        <v>1023</v>
      </c>
    </row>
    <row r="82" spans="1:7" ht="43.2" x14ac:dyDescent="0.3">
      <c r="A82" s="10">
        <v>81</v>
      </c>
      <c r="B82" s="10" t="s">
        <v>983</v>
      </c>
      <c r="C82" s="10" t="s">
        <v>334</v>
      </c>
      <c r="D82" s="10" t="s">
        <v>1024</v>
      </c>
      <c r="E82" s="10" t="s">
        <v>985</v>
      </c>
      <c r="F82" s="10" t="s">
        <v>1025</v>
      </c>
      <c r="G82" s="10" t="s">
        <v>1026</v>
      </c>
    </row>
    <row r="83" spans="1:7" ht="43.2" x14ac:dyDescent="0.3">
      <c r="A83" s="10">
        <v>82</v>
      </c>
      <c r="B83" s="10" t="s">
        <v>983</v>
      </c>
      <c r="C83" s="10" t="s">
        <v>336</v>
      </c>
      <c r="D83" s="10" t="s">
        <v>1027</v>
      </c>
      <c r="E83" s="10" t="s">
        <v>985</v>
      </c>
      <c r="F83" s="10" t="s">
        <v>1028</v>
      </c>
      <c r="G83" s="10" t="s">
        <v>1029</v>
      </c>
    </row>
    <row r="84" spans="1:7" ht="43.2" x14ac:dyDescent="0.3">
      <c r="A84" s="10">
        <v>83</v>
      </c>
      <c r="B84" s="10" t="s">
        <v>983</v>
      </c>
      <c r="C84" s="10" t="s">
        <v>338</v>
      </c>
      <c r="D84" s="10" t="s">
        <v>1030</v>
      </c>
      <c r="E84" s="10" t="s">
        <v>985</v>
      </c>
      <c r="F84" s="10" t="s">
        <v>1031</v>
      </c>
      <c r="G84" s="10" t="s">
        <v>1032</v>
      </c>
    </row>
    <row r="85" spans="1:7" ht="43.2" x14ac:dyDescent="0.3">
      <c r="A85" s="10">
        <v>84</v>
      </c>
      <c r="B85" s="10" t="s">
        <v>983</v>
      </c>
      <c r="C85" s="10" t="s">
        <v>340</v>
      </c>
      <c r="D85" s="10" t="s">
        <v>1033</v>
      </c>
      <c r="E85" s="10" t="s">
        <v>985</v>
      </c>
      <c r="F85" s="10" t="s">
        <v>1034</v>
      </c>
      <c r="G85" s="10" t="s">
        <v>1035</v>
      </c>
    </row>
    <row r="86" spans="1:7" ht="43.2" x14ac:dyDescent="0.3">
      <c r="A86" s="10">
        <v>85</v>
      </c>
      <c r="B86" s="10" t="s">
        <v>983</v>
      </c>
      <c r="C86" s="10" t="s">
        <v>342</v>
      </c>
      <c r="D86" s="10" t="s">
        <v>1036</v>
      </c>
      <c r="E86" s="10" t="s">
        <v>985</v>
      </c>
      <c r="F86" s="10" t="s">
        <v>1037</v>
      </c>
      <c r="G86" s="10" t="s">
        <v>1038</v>
      </c>
    </row>
    <row r="87" spans="1:7" ht="43.2" x14ac:dyDescent="0.3">
      <c r="A87" s="10">
        <v>86</v>
      </c>
      <c r="B87" s="10" t="s">
        <v>983</v>
      </c>
      <c r="C87" s="10" t="s">
        <v>344</v>
      </c>
      <c r="D87" s="10" t="s">
        <v>1039</v>
      </c>
      <c r="E87" s="10" t="s">
        <v>985</v>
      </c>
      <c r="F87" s="10" t="s">
        <v>1040</v>
      </c>
      <c r="G87" s="10" t="s">
        <v>1041</v>
      </c>
    </row>
    <row r="88" spans="1:7" ht="43.2" x14ac:dyDescent="0.3">
      <c r="A88" s="10">
        <v>87</v>
      </c>
      <c r="B88" s="10" t="s">
        <v>983</v>
      </c>
      <c r="C88" s="10" t="s">
        <v>346</v>
      </c>
      <c r="D88" s="10" t="s">
        <v>1042</v>
      </c>
      <c r="E88" s="10" t="s">
        <v>985</v>
      </c>
      <c r="F88" s="10" t="s">
        <v>1043</v>
      </c>
      <c r="G88" s="10" t="s">
        <v>1044</v>
      </c>
    </row>
    <row r="89" spans="1:7" ht="43.2" x14ac:dyDescent="0.3">
      <c r="A89" s="10">
        <v>88</v>
      </c>
      <c r="B89" s="10" t="s">
        <v>983</v>
      </c>
      <c r="C89" s="10" t="s">
        <v>348</v>
      </c>
      <c r="D89" s="10" t="s">
        <v>1045</v>
      </c>
      <c r="E89" s="10" t="s">
        <v>985</v>
      </c>
      <c r="F89" s="10" t="s">
        <v>1046</v>
      </c>
      <c r="G89" s="10" t="s">
        <v>1047</v>
      </c>
    </row>
    <row r="90" spans="1:7" ht="43.2" x14ac:dyDescent="0.3">
      <c r="A90" s="10">
        <v>89</v>
      </c>
      <c r="B90" s="10" t="s">
        <v>983</v>
      </c>
      <c r="C90" s="10" t="s">
        <v>350</v>
      </c>
      <c r="D90" s="10" t="s">
        <v>1048</v>
      </c>
      <c r="E90" s="10" t="s">
        <v>985</v>
      </c>
      <c r="F90" s="10" t="s">
        <v>1049</v>
      </c>
      <c r="G90" s="10" t="s">
        <v>1050</v>
      </c>
    </row>
    <row r="91" spans="1:7" ht="43.2" x14ac:dyDescent="0.3">
      <c r="A91" s="10">
        <v>90</v>
      </c>
      <c r="B91" s="10" t="s">
        <v>983</v>
      </c>
      <c r="C91" s="10" t="s">
        <v>352</v>
      </c>
      <c r="D91" s="10" t="s">
        <v>1051</v>
      </c>
      <c r="E91" s="10" t="s">
        <v>985</v>
      </c>
      <c r="F91" s="10" t="s">
        <v>1052</v>
      </c>
      <c r="G91" s="10" t="s">
        <v>1053</v>
      </c>
    </row>
    <row r="92" spans="1:7" ht="43.2" x14ac:dyDescent="0.3">
      <c r="A92" s="10">
        <v>91</v>
      </c>
      <c r="B92" s="10" t="s">
        <v>983</v>
      </c>
      <c r="C92" s="10" t="s">
        <v>354</v>
      </c>
      <c r="D92" s="10" t="s">
        <v>1054</v>
      </c>
      <c r="E92" s="10" t="s">
        <v>985</v>
      </c>
      <c r="F92" s="10" t="s">
        <v>1055</v>
      </c>
      <c r="G92" s="10" t="s">
        <v>1056</v>
      </c>
    </row>
    <row r="93" spans="1:7" ht="43.2" x14ac:dyDescent="0.3">
      <c r="A93" s="10">
        <v>92</v>
      </c>
      <c r="B93" s="10" t="s">
        <v>983</v>
      </c>
      <c r="C93" s="10" t="s">
        <v>356</v>
      </c>
      <c r="D93" s="10" t="s">
        <v>1057</v>
      </c>
      <c r="E93" s="10" t="s">
        <v>985</v>
      </c>
      <c r="F93" s="10" t="s">
        <v>1058</v>
      </c>
      <c r="G93" s="10" t="s">
        <v>1059</v>
      </c>
    </row>
    <row r="94" spans="1:7" ht="43.2" x14ac:dyDescent="0.3">
      <c r="A94" s="10">
        <v>93</v>
      </c>
      <c r="B94" s="10" t="s">
        <v>983</v>
      </c>
      <c r="C94" s="10" t="s">
        <v>358</v>
      </c>
      <c r="D94" s="10" t="s">
        <v>1060</v>
      </c>
      <c r="E94" s="10" t="s">
        <v>985</v>
      </c>
      <c r="F94" s="10" t="s">
        <v>1061</v>
      </c>
      <c r="G94" s="10" t="s">
        <v>1062</v>
      </c>
    </row>
    <row r="95" spans="1:7" ht="43.2" x14ac:dyDescent="0.3">
      <c r="A95" s="10">
        <v>94</v>
      </c>
      <c r="B95" s="10" t="s">
        <v>983</v>
      </c>
      <c r="C95" s="10" t="s">
        <v>360</v>
      </c>
      <c r="D95" s="10" t="s">
        <v>1063</v>
      </c>
      <c r="E95" s="10" t="s">
        <v>985</v>
      </c>
      <c r="F95" s="10" t="s">
        <v>1064</v>
      </c>
      <c r="G95" s="10" t="s">
        <v>1065</v>
      </c>
    </row>
    <row r="96" spans="1:7" ht="43.2" x14ac:dyDescent="0.3">
      <c r="A96" s="10">
        <v>95</v>
      </c>
      <c r="B96" s="10" t="s">
        <v>983</v>
      </c>
      <c r="C96" s="10" t="s">
        <v>362</v>
      </c>
      <c r="D96" s="10" t="s">
        <v>1066</v>
      </c>
      <c r="E96" s="10" t="s">
        <v>985</v>
      </c>
      <c r="F96" s="10" t="s">
        <v>1067</v>
      </c>
      <c r="G96" s="10" t="s">
        <v>1068</v>
      </c>
    </row>
    <row r="97" spans="1:7" ht="43.2" x14ac:dyDescent="0.3">
      <c r="A97" s="10">
        <v>96</v>
      </c>
      <c r="B97" s="10" t="s">
        <v>983</v>
      </c>
      <c r="C97" s="10" t="s">
        <v>364</v>
      </c>
      <c r="D97" s="10" t="s">
        <v>1069</v>
      </c>
      <c r="E97" s="10" t="s">
        <v>985</v>
      </c>
      <c r="F97" s="10" t="s">
        <v>1070</v>
      </c>
      <c r="G97" s="10" t="s">
        <v>1071</v>
      </c>
    </row>
    <row r="98" spans="1:7" ht="43.2" x14ac:dyDescent="0.3">
      <c r="A98" s="10">
        <v>97</v>
      </c>
      <c r="B98" s="10" t="s">
        <v>983</v>
      </c>
      <c r="C98" s="10" t="s">
        <v>366</v>
      </c>
      <c r="D98" s="10" t="s">
        <v>1072</v>
      </c>
      <c r="E98" s="10" t="s">
        <v>985</v>
      </c>
      <c r="F98" s="10" t="s">
        <v>1073</v>
      </c>
      <c r="G98" s="10" t="s">
        <v>1074</v>
      </c>
    </row>
    <row r="99" spans="1:7" ht="43.2" x14ac:dyDescent="0.3">
      <c r="A99" s="10">
        <v>98</v>
      </c>
      <c r="B99" s="10" t="s">
        <v>983</v>
      </c>
      <c r="C99" s="10" t="s">
        <v>368</v>
      </c>
      <c r="D99" s="10" t="s">
        <v>1075</v>
      </c>
      <c r="E99" s="10" t="s">
        <v>985</v>
      </c>
      <c r="F99" s="10" t="s">
        <v>1076</v>
      </c>
      <c r="G99" s="10" t="s">
        <v>1077</v>
      </c>
    </row>
    <row r="100" spans="1:7" ht="43.2" x14ac:dyDescent="0.3">
      <c r="A100" s="10">
        <v>99</v>
      </c>
      <c r="B100" s="10" t="s">
        <v>983</v>
      </c>
      <c r="C100" s="10" t="s">
        <v>370</v>
      </c>
      <c r="D100" s="10" t="s">
        <v>1078</v>
      </c>
      <c r="E100" s="10" t="s">
        <v>985</v>
      </c>
      <c r="F100" s="10" t="s">
        <v>1079</v>
      </c>
      <c r="G100" s="10" t="s">
        <v>1080</v>
      </c>
    </row>
    <row r="101" spans="1:7" ht="43.2" x14ac:dyDescent="0.3">
      <c r="A101" s="10">
        <v>100</v>
      </c>
      <c r="B101" s="10" t="s">
        <v>983</v>
      </c>
      <c r="C101" s="10" t="s">
        <v>372</v>
      </c>
      <c r="D101" s="10" t="s">
        <v>1081</v>
      </c>
      <c r="F101" s="10" t="s">
        <v>1082</v>
      </c>
      <c r="G101" s="10" t="s">
        <v>1083</v>
      </c>
    </row>
    <row r="102" spans="1:7" ht="43.2" x14ac:dyDescent="0.3">
      <c r="A102" s="10">
        <v>101</v>
      </c>
      <c r="B102" s="10" t="s">
        <v>983</v>
      </c>
      <c r="C102" s="10" t="s">
        <v>372</v>
      </c>
      <c r="D102" s="10" t="s">
        <v>1084</v>
      </c>
      <c r="E102" s="10" t="s">
        <v>131</v>
      </c>
      <c r="F102" s="10" t="s">
        <v>1082</v>
      </c>
      <c r="G102" s="10" t="s">
        <v>1083</v>
      </c>
    </row>
    <row r="103" spans="1:7" ht="43.2" x14ac:dyDescent="0.3">
      <c r="A103" s="10">
        <v>102</v>
      </c>
      <c r="B103" s="10" t="s">
        <v>983</v>
      </c>
      <c r="C103" s="10" t="s">
        <v>372</v>
      </c>
      <c r="D103" s="10" t="s">
        <v>1085</v>
      </c>
      <c r="F103" s="10" t="s">
        <v>1082</v>
      </c>
      <c r="G103" s="10" t="s">
        <v>1083</v>
      </c>
    </row>
    <row r="104" spans="1:7" ht="43.2" x14ac:dyDescent="0.3">
      <c r="A104" s="10">
        <v>103</v>
      </c>
      <c r="B104" s="10" t="s">
        <v>983</v>
      </c>
      <c r="C104" s="10" t="s">
        <v>374</v>
      </c>
      <c r="D104" s="10" t="s">
        <v>1086</v>
      </c>
      <c r="E104" s="10" t="s">
        <v>985</v>
      </c>
      <c r="F104" s="10" t="s">
        <v>1087</v>
      </c>
      <c r="G104" s="10" t="s">
        <v>1088</v>
      </c>
    </row>
    <row r="105" spans="1:7" ht="43.2" x14ac:dyDescent="0.3">
      <c r="A105" s="10">
        <v>104</v>
      </c>
      <c r="B105" s="10" t="s">
        <v>983</v>
      </c>
      <c r="C105" s="10" t="s">
        <v>376</v>
      </c>
      <c r="D105" s="10" t="s">
        <v>1089</v>
      </c>
      <c r="E105" s="10" t="s">
        <v>985</v>
      </c>
      <c r="F105" s="10" t="s">
        <v>1090</v>
      </c>
      <c r="G105" s="10" t="s">
        <v>1091</v>
      </c>
    </row>
    <row r="106" spans="1:7" ht="43.2" x14ac:dyDescent="0.3">
      <c r="A106" s="10">
        <v>105</v>
      </c>
      <c r="B106" s="10" t="s">
        <v>983</v>
      </c>
      <c r="C106" s="10" t="s">
        <v>378</v>
      </c>
      <c r="D106" s="10" t="s">
        <v>1092</v>
      </c>
      <c r="E106" s="10" t="s">
        <v>985</v>
      </c>
      <c r="F106" s="10" t="s">
        <v>1093</v>
      </c>
      <c r="G106" s="10" t="s">
        <v>1094</v>
      </c>
    </row>
    <row r="107" spans="1:7" ht="57.6" x14ac:dyDescent="0.3">
      <c r="A107" s="10">
        <v>106</v>
      </c>
      <c r="B107" s="10" t="s">
        <v>983</v>
      </c>
      <c r="C107" s="10" t="s">
        <v>380</v>
      </c>
      <c r="D107" s="10" t="s">
        <v>1095</v>
      </c>
      <c r="E107" s="10" t="s">
        <v>985</v>
      </c>
      <c r="F107" s="10" t="s">
        <v>1096</v>
      </c>
      <c r="G107" s="10" t="s">
        <v>1097</v>
      </c>
    </row>
    <row r="108" spans="1:7" ht="43.2" x14ac:dyDescent="0.3">
      <c r="A108" s="10">
        <v>107</v>
      </c>
      <c r="B108" s="10" t="s">
        <v>983</v>
      </c>
      <c r="C108" s="10" t="s">
        <v>382</v>
      </c>
      <c r="D108" s="10" t="s">
        <v>1098</v>
      </c>
      <c r="E108" s="10" t="s">
        <v>985</v>
      </c>
      <c r="F108" s="10" t="s">
        <v>1099</v>
      </c>
      <c r="G108" s="10" t="s">
        <v>1100</v>
      </c>
    </row>
    <row r="109" spans="1:7" ht="43.2" x14ac:dyDescent="0.3">
      <c r="A109" s="10">
        <v>108</v>
      </c>
      <c r="B109" s="10" t="s">
        <v>983</v>
      </c>
      <c r="C109" s="10" t="s">
        <v>384</v>
      </c>
      <c r="D109" s="10" t="s">
        <v>1101</v>
      </c>
      <c r="E109" s="10" t="s">
        <v>985</v>
      </c>
      <c r="F109" s="10" t="s">
        <v>1102</v>
      </c>
      <c r="G109" s="10" t="s">
        <v>1103</v>
      </c>
    </row>
    <row r="110" spans="1:7" ht="57.6" x14ac:dyDescent="0.3">
      <c r="A110" s="10">
        <v>109</v>
      </c>
      <c r="B110" s="10" t="s">
        <v>983</v>
      </c>
      <c r="C110" s="10" t="s">
        <v>386</v>
      </c>
      <c r="D110" s="10" t="s">
        <v>1104</v>
      </c>
      <c r="E110" s="10" t="s">
        <v>985</v>
      </c>
      <c r="F110" s="10" t="s">
        <v>1105</v>
      </c>
      <c r="G110" s="10" t="s">
        <v>1106</v>
      </c>
    </row>
    <row r="111" spans="1:7" ht="43.2" x14ac:dyDescent="0.3">
      <c r="A111" s="10">
        <v>110</v>
      </c>
      <c r="B111" s="10" t="s">
        <v>983</v>
      </c>
      <c r="C111" s="10" t="s">
        <v>388</v>
      </c>
      <c r="D111" s="10" t="s">
        <v>1107</v>
      </c>
      <c r="E111" s="10" t="s">
        <v>985</v>
      </c>
      <c r="F111" s="10" t="s">
        <v>1108</v>
      </c>
      <c r="G111" s="10" t="s">
        <v>1109</v>
      </c>
    </row>
    <row r="112" spans="1:7" ht="57.6" x14ac:dyDescent="0.3">
      <c r="A112" s="10">
        <v>111</v>
      </c>
      <c r="B112" s="10" t="s">
        <v>983</v>
      </c>
      <c r="C112" s="10" t="s">
        <v>390</v>
      </c>
      <c r="D112" s="10" t="s">
        <v>1110</v>
      </c>
      <c r="E112" s="10" t="s">
        <v>985</v>
      </c>
      <c r="F112" s="10" t="s">
        <v>1111</v>
      </c>
      <c r="G112" s="10" t="s">
        <v>1112</v>
      </c>
    </row>
    <row r="113" spans="1:7" ht="43.2" x14ac:dyDescent="0.3">
      <c r="A113" s="10">
        <v>112</v>
      </c>
      <c r="B113" s="10" t="s">
        <v>983</v>
      </c>
      <c r="C113" s="10" t="s">
        <v>392</v>
      </c>
      <c r="D113" s="10" t="s">
        <v>1113</v>
      </c>
      <c r="E113" s="10" t="s">
        <v>985</v>
      </c>
      <c r="F113" s="10" t="s">
        <v>1114</v>
      </c>
      <c r="G113" s="10" t="s">
        <v>1115</v>
      </c>
    </row>
    <row r="114" spans="1:7" ht="43.2" x14ac:dyDescent="0.3">
      <c r="A114" s="10">
        <v>113</v>
      </c>
      <c r="B114" s="10" t="s">
        <v>983</v>
      </c>
      <c r="C114" s="10" t="s">
        <v>394</v>
      </c>
      <c r="D114" s="10" t="s">
        <v>1116</v>
      </c>
      <c r="E114" s="10" t="s">
        <v>1085</v>
      </c>
      <c r="F114" s="10" t="s">
        <v>1117</v>
      </c>
      <c r="G114" s="10" t="s">
        <v>1118</v>
      </c>
    </row>
    <row r="115" spans="1:7" ht="43.2" x14ac:dyDescent="0.3">
      <c r="A115" s="10">
        <v>114</v>
      </c>
      <c r="B115" s="10" t="s">
        <v>983</v>
      </c>
      <c r="C115" s="10" t="s">
        <v>396</v>
      </c>
      <c r="D115" s="10" t="s">
        <v>1119</v>
      </c>
      <c r="E115" s="10" t="s">
        <v>985</v>
      </c>
      <c r="F115" s="10" t="s">
        <v>1120</v>
      </c>
      <c r="G115" s="10" t="s">
        <v>1121</v>
      </c>
    </row>
    <row r="116" spans="1:7" ht="43.2" x14ac:dyDescent="0.3">
      <c r="A116" s="10">
        <v>115</v>
      </c>
      <c r="B116" s="10" t="s">
        <v>983</v>
      </c>
      <c r="C116" s="10" t="s">
        <v>398</v>
      </c>
      <c r="D116" s="10" t="s">
        <v>1122</v>
      </c>
      <c r="E116" s="10" t="s">
        <v>985</v>
      </c>
      <c r="F116" s="10" t="s">
        <v>1123</v>
      </c>
      <c r="G116" s="10" t="s">
        <v>1124</v>
      </c>
    </row>
    <row r="117" spans="1:7" ht="43.2" x14ac:dyDescent="0.3">
      <c r="A117" s="10">
        <v>116</v>
      </c>
      <c r="B117" s="10" t="s">
        <v>1125</v>
      </c>
      <c r="C117" s="10" t="s">
        <v>401</v>
      </c>
      <c r="D117" s="10" t="s">
        <v>984</v>
      </c>
      <c r="E117" s="10" t="s">
        <v>985</v>
      </c>
      <c r="F117" s="10" t="s">
        <v>1126</v>
      </c>
      <c r="G117" s="10" t="s">
        <v>1127</v>
      </c>
    </row>
    <row r="118" spans="1:7" ht="43.2" x14ac:dyDescent="0.3">
      <c r="A118" s="10">
        <v>117</v>
      </c>
      <c r="B118" s="10" t="s">
        <v>1125</v>
      </c>
      <c r="C118" s="10" t="s">
        <v>403</v>
      </c>
      <c r="D118" s="10" t="s">
        <v>988</v>
      </c>
      <c r="E118" s="10" t="s">
        <v>985</v>
      </c>
      <c r="F118" s="10" t="s">
        <v>1128</v>
      </c>
      <c r="G118" s="10" t="s">
        <v>1129</v>
      </c>
    </row>
    <row r="119" spans="1:7" ht="43.2" x14ac:dyDescent="0.3">
      <c r="A119" s="10">
        <v>118</v>
      </c>
      <c r="B119" s="10" t="s">
        <v>1125</v>
      </c>
      <c r="C119" s="10" t="s">
        <v>405</v>
      </c>
      <c r="D119" s="10" t="s">
        <v>991</v>
      </c>
      <c r="E119" s="10" t="s">
        <v>985</v>
      </c>
      <c r="F119" s="10" t="s">
        <v>1130</v>
      </c>
      <c r="G119" s="10" t="s">
        <v>1131</v>
      </c>
    </row>
    <row r="120" spans="1:7" ht="43.2" x14ac:dyDescent="0.3">
      <c r="A120" s="10">
        <v>119</v>
      </c>
      <c r="B120" s="10" t="s">
        <v>1125</v>
      </c>
      <c r="C120" s="10" t="s">
        <v>407</v>
      </c>
      <c r="D120" s="10" t="s">
        <v>994</v>
      </c>
      <c r="E120" s="10" t="s">
        <v>985</v>
      </c>
      <c r="F120" s="10" t="s">
        <v>1132</v>
      </c>
      <c r="G120" s="10" t="s">
        <v>1133</v>
      </c>
    </row>
    <row r="121" spans="1:7" ht="43.2" x14ac:dyDescent="0.3">
      <c r="A121" s="10">
        <v>120</v>
      </c>
      <c r="B121" s="10" t="s">
        <v>1125</v>
      </c>
      <c r="C121" s="10" t="s">
        <v>409</v>
      </c>
      <c r="D121" s="10" t="s">
        <v>997</v>
      </c>
      <c r="E121" s="10" t="s">
        <v>985</v>
      </c>
      <c r="F121" s="10" t="s">
        <v>1134</v>
      </c>
      <c r="G121" s="10" t="s">
        <v>1135</v>
      </c>
    </row>
    <row r="122" spans="1:7" ht="28.8" x14ac:dyDescent="0.3">
      <c r="A122" s="10">
        <v>121</v>
      </c>
      <c r="B122" s="10" t="s">
        <v>1125</v>
      </c>
      <c r="C122" s="10" t="s">
        <v>411</v>
      </c>
      <c r="D122" s="10" t="s">
        <v>1000</v>
      </c>
      <c r="E122" s="10" t="s">
        <v>985</v>
      </c>
      <c r="F122" s="10" t="s">
        <v>1136</v>
      </c>
      <c r="G122" s="10" t="s">
        <v>1137</v>
      </c>
    </row>
    <row r="123" spans="1:7" ht="43.2" x14ac:dyDescent="0.3">
      <c r="A123" s="10">
        <v>122</v>
      </c>
      <c r="B123" s="10" t="s">
        <v>1125</v>
      </c>
      <c r="C123" s="10" t="s">
        <v>413</v>
      </c>
      <c r="D123" s="10" t="s">
        <v>1003</v>
      </c>
      <c r="E123" s="10" t="s">
        <v>985</v>
      </c>
      <c r="F123" s="10" t="s">
        <v>1138</v>
      </c>
      <c r="G123" s="10" t="s">
        <v>1139</v>
      </c>
    </row>
    <row r="124" spans="1:7" ht="43.2" x14ac:dyDescent="0.3">
      <c r="A124" s="10">
        <v>123</v>
      </c>
      <c r="B124" s="10" t="s">
        <v>1125</v>
      </c>
      <c r="C124" s="10" t="s">
        <v>415</v>
      </c>
      <c r="D124" s="10" t="s">
        <v>1006</v>
      </c>
      <c r="E124" s="10" t="s">
        <v>985</v>
      </c>
      <c r="F124" s="10" t="s">
        <v>1140</v>
      </c>
      <c r="G124" s="10" t="s">
        <v>1141</v>
      </c>
    </row>
    <row r="125" spans="1:7" ht="43.2" x14ac:dyDescent="0.3">
      <c r="A125" s="10">
        <v>124</v>
      </c>
      <c r="B125" s="10" t="s">
        <v>1125</v>
      </c>
      <c r="C125" s="10" t="s">
        <v>417</v>
      </c>
      <c r="D125" s="10" t="s">
        <v>1009</v>
      </c>
      <c r="E125" s="10" t="s">
        <v>985</v>
      </c>
      <c r="F125" s="10" t="s">
        <v>1142</v>
      </c>
      <c r="G125" s="10" t="s">
        <v>1143</v>
      </c>
    </row>
    <row r="126" spans="1:7" ht="57.6" x14ac:dyDescent="0.3">
      <c r="A126" s="10">
        <v>125</v>
      </c>
      <c r="B126" s="10" t="s">
        <v>1125</v>
      </c>
      <c r="C126" s="10" t="s">
        <v>419</v>
      </c>
      <c r="D126" s="10" t="s">
        <v>1012</v>
      </c>
      <c r="E126" s="10" t="s">
        <v>985</v>
      </c>
      <c r="F126" s="10" t="s">
        <v>1144</v>
      </c>
      <c r="G126" s="10" t="s">
        <v>1145</v>
      </c>
    </row>
    <row r="127" spans="1:7" ht="43.2" x14ac:dyDescent="0.3">
      <c r="A127" s="10">
        <v>126</v>
      </c>
      <c r="B127" s="10" t="s">
        <v>1125</v>
      </c>
      <c r="C127" s="10" t="s">
        <v>421</v>
      </c>
      <c r="D127" s="10" t="s">
        <v>1015</v>
      </c>
      <c r="E127" s="10" t="s">
        <v>985</v>
      </c>
      <c r="F127" s="10" t="s">
        <v>1146</v>
      </c>
      <c r="G127" s="10" t="s">
        <v>1147</v>
      </c>
    </row>
    <row r="128" spans="1:7" ht="43.2" x14ac:dyDescent="0.3">
      <c r="A128" s="10">
        <v>127</v>
      </c>
      <c r="B128" s="10" t="s">
        <v>1125</v>
      </c>
      <c r="C128" s="10" t="s">
        <v>423</v>
      </c>
      <c r="D128" s="10" t="s">
        <v>1018</v>
      </c>
      <c r="E128" s="10" t="s">
        <v>985</v>
      </c>
      <c r="F128" s="10" t="s">
        <v>1148</v>
      </c>
      <c r="G128" s="10" t="s">
        <v>1149</v>
      </c>
    </row>
    <row r="129" spans="1:7" ht="43.2" x14ac:dyDescent="0.3">
      <c r="A129" s="10">
        <v>128</v>
      </c>
      <c r="B129" s="10" t="s">
        <v>1125</v>
      </c>
      <c r="C129" s="10" t="s">
        <v>425</v>
      </c>
      <c r="D129" s="10" t="s">
        <v>1021</v>
      </c>
      <c r="E129" s="10" t="s">
        <v>985</v>
      </c>
      <c r="F129" s="10" t="s">
        <v>1150</v>
      </c>
      <c r="G129" s="10" t="s">
        <v>1151</v>
      </c>
    </row>
    <row r="130" spans="1:7" ht="43.2" x14ac:dyDescent="0.3">
      <c r="A130" s="10">
        <v>129</v>
      </c>
      <c r="B130" s="10" t="s">
        <v>1125</v>
      </c>
      <c r="C130" s="10" t="s">
        <v>427</v>
      </c>
      <c r="D130" s="10" t="s">
        <v>1024</v>
      </c>
      <c r="E130" s="10" t="s">
        <v>985</v>
      </c>
      <c r="F130" s="10" t="s">
        <v>1152</v>
      </c>
      <c r="G130" s="10" t="s">
        <v>1153</v>
      </c>
    </row>
    <row r="131" spans="1:7" ht="43.2" x14ac:dyDescent="0.3">
      <c r="A131" s="10">
        <v>130</v>
      </c>
      <c r="B131" s="10" t="s">
        <v>1125</v>
      </c>
      <c r="C131" s="10" t="s">
        <v>429</v>
      </c>
      <c r="D131" s="10" t="s">
        <v>1027</v>
      </c>
      <c r="E131" s="10" t="s">
        <v>985</v>
      </c>
      <c r="F131" s="10" t="s">
        <v>1154</v>
      </c>
      <c r="G131" s="10" t="s">
        <v>1155</v>
      </c>
    </row>
    <row r="132" spans="1:7" ht="43.2" x14ac:dyDescent="0.3">
      <c r="A132" s="10">
        <v>131</v>
      </c>
      <c r="B132" s="10" t="s">
        <v>1125</v>
      </c>
      <c r="C132" s="10" t="s">
        <v>431</v>
      </c>
      <c r="D132" s="10" t="s">
        <v>1030</v>
      </c>
      <c r="E132" s="10" t="s">
        <v>985</v>
      </c>
      <c r="F132" s="10" t="s">
        <v>1156</v>
      </c>
      <c r="G132" s="10" t="s">
        <v>1157</v>
      </c>
    </row>
    <row r="133" spans="1:7" ht="28.8" x14ac:dyDescent="0.3">
      <c r="A133" s="10">
        <v>132</v>
      </c>
      <c r="B133" s="10" t="s">
        <v>1125</v>
      </c>
      <c r="C133" s="10" t="s">
        <v>433</v>
      </c>
      <c r="D133" s="10" t="s">
        <v>1033</v>
      </c>
      <c r="E133" s="10" t="s">
        <v>985</v>
      </c>
      <c r="F133" s="10" t="s">
        <v>1158</v>
      </c>
      <c r="G133" s="10" t="s">
        <v>1159</v>
      </c>
    </row>
    <row r="134" spans="1:7" ht="28.8" x14ac:dyDescent="0.3">
      <c r="A134" s="10">
        <v>133</v>
      </c>
      <c r="B134" s="10" t="s">
        <v>1125</v>
      </c>
      <c r="C134" s="10" t="s">
        <v>435</v>
      </c>
      <c r="D134" s="10" t="s">
        <v>1036</v>
      </c>
      <c r="E134" s="10" t="s">
        <v>985</v>
      </c>
      <c r="F134" s="10" t="s">
        <v>1160</v>
      </c>
      <c r="G134" s="10" t="s">
        <v>1161</v>
      </c>
    </row>
    <row r="135" spans="1:7" ht="28.8" x14ac:dyDescent="0.3">
      <c r="A135" s="10">
        <v>134</v>
      </c>
      <c r="B135" s="10" t="s">
        <v>1125</v>
      </c>
      <c r="C135" s="10" t="s">
        <v>437</v>
      </c>
      <c r="D135" s="10" t="s">
        <v>1039</v>
      </c>
      <c r="E135" s="10" t="s">
        <v>985</v>
      </c>
      <c r="F135" s="10" t="s">
        <v>1162</v>
      </c>
      <c r="G135" s="10" t="s">
        <v>1163</v>
      </c>
    </row>
    <row r="136" spans="1:7" ht="43.2" x14ac:dyDescent="0.3">
      <c r="A136" s="10">
        <v>135</v>
      </c>
      <c r="B136" s="10" t="s">
        <v>1125</v>
      </c>
      <c r="C136" s="10" t="s">
        <v>439</v>
      </c>
      <c r="D136" s="10" t="s">
        <v>1042</v>
      </c>
      <c r="E136" s="10" t="s">
        <v>985</v>
      </c>
      <c r="F136" s="10" t="s">
        <v>1164</v>
      </c>
      <c r="G136" s="10" t="s">
        <v>1165</v>
      </c>
    </row>
    <row r="137" spans="1:7" ht="43.2" x14ac:dyDescent="0.3">
      <c r="A137" s="10">
        <v>136</v>
      </c>
      <c r="B137" s="10" t="s">
        <v>1125</v>
      </c>
      <c r="C137" s="10" t="s">
        <v>441</v>
      </c>
      <c r="D137" s="10" t="s">
        <v>1045</v>
      </c>
      <c r="E137" s="10" t="s">
        <v>985</v>
      </c>
      <c r="F137" s="10" t="s">
        <v>1166</v>
      </c>
      <c r="G137" s="10" t="s">
        <v>1167</v>
      </c>
    </row>
    <row r="138" spans="1:7" ht="28.8" x14ac:dyDescent="0.3">
      <c r="A138" s="10">
        <v>137</v>
      </c>
      <c r="B138" s="10" t="s">
        <v>1125</v>
      </c>
      <c r="C138" s="10" t="s">
        <v>443</v>
      </c>
      <c r="D138" s="10" t="s">
        <v>1048</v>
      </c>
      <c r="E138" s="10" t="s">
        <v>985</v>
      </c>
      <c r="F138" s="10" t="s">
        <v>1168</v>
      </c>
      <c r="G138" s="10" t="s">
        <v>1169</v>
      </c>
    </row>
    <row r="139" spans="1:7" ht="28.8" x14ac:dyDescent="0.3">
      <c r="A139" s="10">
        <v>138</v>
      </c>
      <c r="B139" s="10" t="s">
        <v>1125</v>
      </c>
      <c r="C139" s="10" t="s">
        <v>445</v>
      </c>
      <c r="D139" s="10" t="s">
        <v>1051</v>
      </c>
      <c r="E139" s="10" t="s">
        <v>985</v>
      </c>
      <c r="F139" s="10" t="s">
        <v>1170</v>
      </c>
      <c r="G139" s="10" t="s">
        <v>1171</v>
      </c>
    </row>
    <row r="140" spans="1:7" ht="43.2" x14ac:dyDescent="0.3">
      <c r="A140" s="10">
        <v>139</v>
      </c>
      <c r="B140" s="10" t="s">
        <v>1125</v>
      </c>
      <c r="C140" s="10" t="s">
        <v>447</v>
      </c>
      <c r="D140" s="10" t="s">
        <v>1054</v>
      </c>
      <c r="E140" s="10" t="s">
        <v>985</v>
      </c>
      <c r="F140" s="10" t="s">
        <v>1172</v>
      </c>
      <c r="G140" s="10" t="s">
        <v>1173</v>
      </c>
    </row>
    <row r="141" spans="1:7" ht="43.2" x14ac:dyDescent="0.3">
      <c r="A141" s="10">
        <v>140</v>
      </c>
      <c r="B141" s="10" t="s">
        <v>1125</v>
      </c>
      <c r="C141" s="10" t="s">
        <v>449</v>
      </c>
      <c r="D141" s="10" t="s">
        <v>1057</v>
      </c>
      <c r="E141" s="10" t="s">
        <v>985</v>
      </c>
      <c r="F141" s="10" t="s">
        <v>1174</v>
      </c>
      <c r="G141" s="10" t="s">
        <v>1175</v>
      </c>
    </row>
    <row r="142" spans="1:7" ht="43.2" x14ac:dyDescent="0.3">
      <c r="A142" s="10">
        <v>141</v>
      </c>
      <c r="B142" s="10" t="s">
        <v>1125</v>
      </c>
      <c r="C142" s="10" t="s">
        <v>451</v>
      </c>
      <c r="D142" s="10" t="s">
        <v>1060</v>
      </c>
      <c r="E142" s="10" t="s">
        <v>985</v>
      </c>
      <c r="F142" s="10" t="s">
        <v>1176</v>
      </c>
      <c r="G142" s="10" t="s">
        <v>1177</v>
      </c>
    </row>
    <row r="143" spans="1:7" ht="43.2" x14ac:dyDescent="0.3">
      <c r="A143" s="10">
        <v>142</v>
      </c>
      <c r="B143" s="10" t="s">
        <v>1125</v>
      </c>
      <c r="C143" s="10" t="s">
        <v>453</v>
      </c>
      <c r="D143" s="10" t="s">
        <v>1063</v>
      </c>
      <c r="E143" s="10" t="s">
        <v>985</v>
      </c>
      <c r="F143" s="10" t="s">
        <v>1178</v>
      </c>
      <c r="G143" s="10" t="s">
        <v>1179</v>
      </c>
    </row>
    <row r="144" spans="1:7" ht="28.8" x14ac:dyDescent="0.3">
      <c r="A144" s="10">
        <v>143</v>
      </c>
      <c r="B144" s="10" t="s">
        <v>1125</v>
      </c>
      <c r="C144" s="10" t="s">
        <v>455</v>
      </c>
      <c r="D144" s="10" t="s">
        <v>1066</v>
      </c>
      <c r="E144" s="10" t="s">
        <v>985</v>
      </c>
      <c r="F144" s="10" t="s">
        <v>1180</v>
      </c>
      <c r="G144" s="10" t="s">
        <v>1181</v>
      </c>
    </row>
    <row r="145" spans="1:7" ht="43.2" x14ac:dyDescent="0.3">
      <c r="A145" s="10">
        <v>144</v>
      </c>
      <c r="B145" s="10" t="s">
        <v>1125</v>
      </c>
      <c r="C145" s="10" t="s">
        <v>457</v>
      </c>
      <c r="D145" s="10" t="s">
        <v>1069</v>
      </c>
      <c r="E145" s="10" t="s">
        <v>985</v>
      </c>
      <c r="F145" s="10" t="s">
        <v>1182</v>
      </c>
      <c r="G145" s="10" t="s">
        <v>1183</v>
      </c>
    </row>
    <row r="146" spans="1:7" ht="43.2" x14ac:dyDescent="0.3">
      <c r="A146" s="10">
        <v>145</v>
      </c>
      <c r="B146" s="10" t="s">
        <v>1125</v>
      </c>
      <c r="C146" s="10" t="s">
        <v>459</v>
      </c>
      <c r="D146" s="10" t="s">
        <v>1072</v>
      </c>
      <c r="E146" s="10" t="s">
        <v>985</v>
      </c>
      <c r="F146" s="10" t="s">
        <v>1184</v>
      </c>
      <c r="G146" s="10" t="s">
        <v>1185</v>
      </c>
    </row>
    <row r="147" spans="1:7" ht="43.2" x14ac:dyDescent="0.3">
      <c r="A147" s="10">
        <v>146</v>
      </c>
      <c r="B147" s="10" t="s">
        <v>1125</v>
      </c>
      <c r="C147" s="10" t="s">
        <v>461</v>
      </c>
      <c r="D147" s="10" t="s">
        <v>1075</v>
      </c>
      <c r="E147" s="10" t="s">
        <v>985</v>
      </c>
      <c r="F147" s="10" t="s">
        <v>1186</v>
      </c>
      <c r="G147" s="10" t="s">
        <v>1187</v>
      </c>
    </row>
    <row r="148" spans="1:7" ht="43.2" x14ac:dyDescent="0.3">
      <c r="A148" s="10">
        <v>147</v>
      </c>
      <c r="B148" s="10" t="s">
        <v>1125</v>
      </c>
      <c r="C148" s="10" t="s">
        <v>463</v>
      </c>
      <c r="D148" s="10" t="s">
        <v>1078</v>
      </c>
      <c r="E148" s="10" t="s">
        <v>985</v>
      </c>
      <c r="F148" s="10" t="s">
        <v>1188</v>
      </c>
      <c r="G148" s="10" t="s">
        <v>1189</v>
      </c>
    </row>
    <row r="149" spans="1:7" ht="28.8" x14ac:dyDescent="0.3">
      <c r="A149" s="10">
        <v>148</v>
      </c>
      <c r="B149" s="10" t="s">
        <v>1125</v>
      </c>
      <c r="C149" s="10" t="s">
        <v>465</v>
      </c>
      <c r="D149" s="10" t="s">
        <v>1190</v>
      </c>
      <c r="F149" s="10" t="s">
        <v>1191</v>
      </c>
      <c r="G149" s="10" t="s">
        <v>1192</v>
      </c>
    </row>
    <row r="150" spans="1:7" ht="28.8" x14ac:dyDescent="0.3">
      <c r="A150" s="10">
        <v>149</v>
      </c>
      <c r="B150" s="10" t="s">
        <v>1125</v>
      </c>
      <c r="C150" s="10" t="s">
        <v>465</v>
      </c>
      <c r="D150" s="10" t="s">
        <v>1193</v>
      </c>
      <c r="E150" s="10" t="s">
        <v>131</v>
      </c>
      <c r="F150" s="10" t="s">
        <v>1191</v>
      </c>
      <c r="G150" s="10" t="s">
        <v>1192</v>
      </c>
    </row>
    <row r="151" spans="1:7" ht="28.8" x14ac:dyDescent="0.3">
      <c r="A151" s="10">
        <v>150</v>
      </c>
      <c r="B151" s="10" t="s">
        <v>1125</v>
      </c>
      <c r="C151" s="10" t="s">
        <v>465</v>
      </c>
      <c r="D151" s="10" t="s">
        <v>1081</v>
      </c>
      <c r="F151" s="10" t="s">
        <v>1191</v>
      </c>
      <c r="G151" s="10" t="s">
        <v>1192</v>
      </c>
    </row>
    <row r="152" spans="1:7" ht="28.8" x14ac:dyDescent="0.3">
      <c r="A152" s="10">
        <v>151</v>
      </c>
      <c r="B152" s="10" t="s">
        <v>1125</v>
      </c>
      <c r="C152" s="10" t="s">
        <v>465</v>
      </c>
      <c r="D152" s="10" t="s">
        <v>985</v>
      </c>
      <c r="E152" s="10" t="s">
        <v>949</v>
      </c>
      <c r="F152" s="10" t="s">
        <v>1191</v>
      </c>
      <c r="G152" s="10" t="s">
        <v>1192</v>
      </c>
    </row>
    <row r="153" spans="1:7" ht="28.8" x14ac:dyDescent="0.3">
      <c r="A153" s="10">
        <v>152</v>
      </c>
      <c r="B153" s="10" t="s">
        <v>1125</v>
      </c>
      <c r="C153" s="10" t="s">
        <v>467</v>
      </c>
      <c r="D153" s="10" t="s">
        <v>1086</v>
      </c>
      <c r="E153" s="10" t="s">
        <v>985</v>
      </c>
      <c r="F153" s="10" t="s">
        <v>1194</v>
      </c>
      <c r="G153" s="10" t="s">
        <v>1195</v>
      </c>
    </row>
    <row r="154" spans="1:7" ht="28.8" x14ac:dyDescent="0.3">
      <c r="A154" s="10">
        <v>153</v>
      </c>
      <c r="B154" s="10" t="s">
        <v>1125</v>
      </c>
      <c r="C154" s="10" t="s">
        <v>469</v>
      </c>
      <c r="D154" s="10" t="s">
        <v>1089</v>
      </c>
      <c r="E154" s="10" t="s">
        <v>985</v>
      </c>
      <c r="F154" s="10" t="s">
        <v>1196</v>
      </c>
      <c r="G154" s="10" t="s">
        <v>1197</v>
      </c>
    </row>
    <row r="155" spans="1:7" ht="43.2" x14ac:dyDescent="0.3">
      <c r="A155" s="10">
        <v>154</v>
      </c>
      <c r="B155" s="10" t="s">
        <v>1125</v>
      </c>
      <c r="C155" s="10" t="s">
        <v>471</v>
      </c>
      <c r="D155" s="10" t="s">
        <v>1092</v>
      </c>
      <c r="E155" s="10" t="s">
        <v>985</v>
      </c>
      <c r="F155" s="10" t="s">
        <v>1198</v>
      </c>
      <c r="G155" s="10" t="s">
        <v>1199</v>
      </c>
    </row>
    <row r="156" spans="1:7" ht="43.2" x14ac:dyDescent="0.3">
      <c r="A156" s="10">
        <v>155</v>
      </c>
      <c r="B156" s="10" t="s">
        <v>1125</v>
      </c>
      <c r="C156" s="10" t="s">
        <v>473</v>
      </c>
      <c r="D156" s="10" t="s">
        <v>1095</v>
      </c>
      <c r="E156" s="10" t="s">
        <v>985</v>
      </c>
      <c r="F156" s="10" t="s">
        <v>1200</v>
      </c>
      <c r="G156" s="10" t="s">
        <v>1201</v>
      </c>
    </row>
    <row r="157" spans="1:7" ht="43.2" x14ac:dyDescent="0.3">
      <c r="A157" s="10">
        <v>156</v>
      </c>
      <c r="B157" s="10" t="s">
        <v>1125</v>
      </c>
      <c r="C157" s="10" t="s">
        <v>475</v>
      </c>
      <c r="D157" s="10" t="s">
        <v>1098</v>
      </c>
      <c r="E157" s="10" t="s">
        <v>985</v>
      </c>
      <c r="F157" s="10" t="s">
        <v>1202</v>
      </c>
      <c r="G157" s="10" t="s">
        <v>1203</v>
      </c>
    </row>
    <row r="158" spans="1:7" ht="43.2" x14ac:dyDescent="0.3">
      <c r="A158" s="10">
        <v>157</v>
      </c>
      <c r="B158" s="10" t="s">
        <v>1125</v>
      </c>
      <c r="C158" s="10" t="s">
        <v>477</v>
      </c>
      <c r="D158" s="10" t="s">
        <v>1101</v>
      </c>
      <c r="E158" s="10" t="s">
        <v>985</v>
      </c>
      <c r="F158" s="10" t="s">
        <v>1204</v>
      </c>
      <c r="G158" s="10" t="s">
        <v>1205</v>
      </c>
    </row>
    <row r="159" spans="1:7" ht="43.2" x14ac:dyDescent="0.3">
      <c r="A159" s="10">
        <v>158</v>
      </c>
      <c r="B159" s="10" t="s">
        <v>1125</v>
      </c>
      <c r="C159" s="10" t="s">
        <v>479</v>
      </c>
      <c r="D159" s="10" t="s">
        <v>1104</v>
      </c>
      <c r="E159" s="10" t="s">
        <v>985</v>
      </c>
      <c r="F159" s="10" t="s">
        <v>1206</v>
      </c>
      <c r="G159" s="10" t="s">
        <v>1207</v>
      </c>
    </row>
    <row r="160" spans="1:7" ht="28.8" x14ac:dyDescent="0.3">
      <c r="A160" s="10">
        <v>159</v>
      </c>
      <c r="B160" s="10" t="s">
        <v>1125</v>
      </c>
      <c r="C160" s="10" t="s">
        <v>481</v>
      </c>
      <c r="D160" s="10" t="s">
        <v>1107</v>
      </c>
      <c r="E160" s="10" t="s">
        <v>985</v>
      </c>
      <c r="F160" s="10" t="s">
        <v>1208</v>
      </c>
      <c r="G160" s="10" t="s">
        <v>1209</v>
      </c>
    </row>
    <row r="161" spans="1:7" ht="43.2" x14ac:dyDescent="0.3">
      <c r="A161" s="10">
        <v>160</v>
      </c>
      <c r="B161" s="10" t="s">
        <v>1125</v>
      </c>
      <c r="C161" s="10" t="s">
        <v>483</v>
      </c>
      <c r="D161" s="10" t="s">
        <v>1110</v>
      </c>
      <c r="E161" s="10" t="s">
        <v>985</v>
      </c>
      <c r="F161" s="10" t="s">
        <v>1210</v>
      </c>
      <c r="G161" s="10" t="s">
        <v>1211</v>
      </c>
    </row>
    <row r="162" spans="1:7" ht="28.8" x14ac:dyDescent="0.3">
      <c r="A162" s="10">
        <v>161</v>
      </c>
      <c r="B162" s="10" t="s">
        <v>1125</v>
      </c>
      <c r="C162" s="10" t="s">
        <v>485</v>
      </c>
      <c r="D162" s="10" t="s">
        <v>1113</v>
      </c>
      <c r="E162" s="10" t="s">
        <v>985</v>
      </c>
      <c r="F162" s="10" t="s">
        <v>1212</v>
      </c>
      <c r="G162" s="10" t="s">
        <v>1213</v>
      </c>
    </row>
    <row r="163" spans="1:7" ht="43.2" x14ac:dyDescent="0.3">
      <c r="A163" s="10">
        <v>162</v>
      </c>
      <c r="B163" s="10" t="s">
        <v>1125</v>
      </c>
      <c r="C163" s="10" t="s">
        <v>487</v>
      </c>
      <c r="D163" s="10" t="s">
        <v>1119</v>
      </c>
      <c r="E163" s="10" t="s">
        <v>985</v>
      </c>
      <c r="F163" s="10" t="s">
        <v>1214</v>
      </c>
      <c r="G163" s="10" t="s">
        <v>1215</v>
      </c>
    </row>
    <row r="164" spans="1:7" ht="28.8" x14ac:dyDescent="0.3">
      <c r="A164" s="10">
        <v>163</v>
      </c>
      <c r="B164" s="10" t="s">
        <v>1125</v>
      </c>
      <c r="C164" s="10" t="s">
        <v>489</v>
      </c>
      <c r="D164" s="10" t="s">
        <v>1216</v>
      </c>
      <c r="E164" s="10" t="s">
        <v>985</v>
      </c>
      <c r="F164" s="10" t="s">
        <v>1217</v>
      </c>
      <c r="G164" s="10" t="s">
        <v>1218</v>
      </c>
    </row>
    <row r="165" spans="1:7" ht="28.8" x14ac:dyDescent="0.3">
      <c r="A165" s="10">
        <v>164</v>
      </c>
      <c r="B165" s="10" t="s">
        <v>1219</v>
      </c>
      <c r="C165" s="10" t="s">
        <v>492</v>
      </c>
      <c r="D165" s="10" t="s">
        <v>1220</v>
      </c>
      <c r="E165" s="10" t="s">
        <v>1221</v>
      </c>
      <c r="F165" s="10" t="s">
        <v>1222</v>
      </c>
      <c r="G165" s="10" t="s">
        <v>1223</v>
      </c>
    </row>
    <row r="166" spans="1:7" ht="28.8" x14ac:dyDescent="0.3">
      <c r="A166" s="10">
        <v>165</v>
      </c>
      <c r="B166" s="10" t="s">
        <v>1219</v>
      </c>
      <c r="C166" s="10" t="s">
        <v>494</v>
      </c>
      <c r="D166" s="10" t="s">
        <v>1221</v>
      </c>
      <c r="E166" s="10" t="s">
        <v>942</v>
      </c>
      <c r="F166" s="10" t="s">
        <v>1224</v>
      </c>
      <c r="G166" s="10" t="s">
        <v>1225</v>
      </c>
    </row>
    <row r="167" spans="1:7" ht="43.2" x14ac:dyDescent="0.3">
      <c r="A167" s="10">
        <v>166</v>
      </c>
      <c r="B167" s="10" t="s">
        <v>1226</v>
      </c>
      <c r="C167" s="10" t="s">
        <v>124</v>
      </c>
      <c r="D167" s="10" t="s">
        <v>134</v>
      </c>
      <c r="E167" s="10" t="s">
        <v>133</v>
      </c>
      <c r="F167" s="10" t="s">
        <v>1227</v>
      </c>
      <c r="G167" s="10" t="s">
        <v>1228</v>
      </c>
    </row>
    <row r="168" spans="1:7" ht="43.2" x14ac:dyDescent="0.3">
      <c r="A168" s="10">
        <v>167</v>
      </c>
      <c r="B168" s="10" t="s">
        <v>1226</v>
      </c>
      <c r="C168" s="10" t="s">
        <v>498</v>
      </c>
      <c r="D168" s="10" t="s">
        <v>1229</v>
      </c>
      <c r="E168" s="10" t="s">
        <v>1230</v>
      </c>
      <c r="F168" s="10" t="s">
        <v>1231</v>
      </c>
      <c r="G168" s="10" t="s">
        <v>1232</v>
      </c>
    </row>
    <row r="169" spans="1:7" ht="43.2" x14ac:dyDescent="0.3">
      <c r="A169" s="10">
        <v>168</v>
      </c>
      <c r="B169" s="10" t="s">
        <v>1226</v>
      </c>
      <c r="C169" s="10" t="s">
        <v>125</v>
      </c>
      <c r="D169" s="10" t="s">
        <v>135</v>
      </c>
      <c r="E169" s="10" t="s">
        <v>133</v>
      </c>
      <c r="F169" s="10" t="s">
        <v>1233</v>
      </c>
      <c r="G169" s="10" t="s">
        <v>1234</v>
      </c>
    </row>
    <row r="170" spans="1:7" ht="43.2" x14ac:dyDescent="0.3">
      <c r="A170" s="10">
        <v>169</v>
      </c>
      <c r="B170" s="10" t="s">
        <v>1226</v>
      </c>
      <c r="C170" s="10" t="s">
        <v>501</v>
      </c>
      <c r="D170" s="10" t="s">
        <v>1235</v>
      </c>
      <c r="E170" s="10" t="s">
        <v>1230</v>
      </c>
      <c r="F170" s="10" t="s">
        <v>1236</v>
      </c>
      <c r="G170" s="10" t="s">
        <v>1237</v>
      </c>
    </row>
    <row r="171" spans="1:7" ht="43.2" x14ac:dyDescent="0.3">
      <c r="A171" s="10">
        <v>170</v>
      </c>
      <c r="B171" s="10" t="s">
        <v>1226</v>
      </c>
      <c r="C171" s="10" t="s">
        <v>503</v>
      </c>
      <c r="D171" s="10" t="s">
        <v>1238</v>
      </c>
      <c r="E171" s="10" t="s">
        <v>1221</v>
      </c>
      <c r="F171" s="10" t="s">
        <v>1239</v>
      </c>
      <c r="G171" s="10" t="s">
        <v>1240</v>
      </c>
    </row>
    <row r="172" spans="1:7" ht="43.2" x14ac:dyDescent="0.3">
      <c r="A172" s="10">
        <v>171</v>
      </c>
      <c r="B172" s="10" t="s">
        <v>1226</v>
      </c>
      <c r="C172" s="10" t="s">
        <v>505</v>
      </c>
      <c r="D172" s="10" t="s">
        <v>1230</v>
      </c>
      <c r="E172" s="10" t="s">
        <v>139</v>
      </c>
      <c r="F172" s="10" t="s">
        <v>1241</v>
      </c>
      <c r="G172" s="10" t="s">
        <v>1242</v>
      </c>
    </row>
    <row r="173" spans="1:7" ht="43.2" x14ac:dyDescent="0.3">
      <c r="A173" s="10">
        <v>172</v>
      </c>
      <c r="B173" s="10" t="s">
        <v>1226</v>
      </c>
      <c r="C173" s="10" t="s">
        <v>127</v>
      </c>
      <c r="D173" s="10" t="s">
        <v>133</v>
      </c>
      <c r="E173" s="10" t="s">
        <v>1238</v>
      </c>
      <c r="F173" s="10" t="s">
        <v>1243</v>
      </c>
      <c r="G173" s="10" t="s">
        <v>1244</v>
      </c>
    </row>
    <row r="174" spans="1:7" ht="43.2" x14ac:dyDescent="0.3">
      <c r="A174" s="10">
        <v>173</v>
      </c>
      <c r="B174" s="10" t="s">
        <v>1226</v>
      </c>
      <c r="C174" s="10" t="s">
        <v>508</v>
      </c>
      <c r="D174" s="10" t="s">
        <v>1245</v>
      </c>
      <c r="E174" s="10" t="s">
        <v>1230</v>
      </c>
      <c r="F174" s="10" t="s">
        <v>1246</v>
      </c>
      <c r="G174" s="10" t="s">
        <v>1247</v>
      </c>
    </row>
    <row r="175" spans="1:7" ht="43.2" x14ac:dyDescent="0.3">
      <c r="A175" s="10">
        <v>174</v>
      </c>
      <c r="B175" s="10" t="s">
        <v>1226</v>
      </c>
      <c r="C175" s="10" t="s">
        <v>510</v>
      </c>
      <c r="D175" s="10" t="s">
        <v>1248</v>
      </c>
      <c r="E175" s="10" t="s">
        <v>139</v>
      </c>
      <c r="F175" s="10" t="s">
        <v>1249</v>
      </c>
      <c r="G175" s="10" t="s">
        <v>1250</v>
      </c>
    </row>
    <row r="176" spans="1:7" ht="43.2" x14ac:dyDescent="0.3">
      <c r="A176" s="10">
        <v>175</v>
      </c>
      <c r="B176" s="10" t="s">
        <v>1226</v>
      </c>
      <c r="C176" s="10" t="s">
        <v>129</v>
      </c>
      <c r="D176" s="10" t="s">
        <v>136</v>
      </c>
      <c r="E176" s="10" t="s">
        <v>135</v>
      </c>
      <c r="F176" s="10" t="s">
        <v>1251</v>
      </c>
      <c r="G176" s="10" t="s">
        <v>1252</v>
      </c>
    </row>
    <row r="177" spans="1:7" ht="43.2" x14ac:dyDescent="0.3">
      <c r="A177" s="10">
        <v>176</v>
      </c>
      <c r="B177" s="10" t="s">
        <v>1226</v>
      </c>
      <c r="C177" s="10" t="s">
        <v>513</v>
      </c>
      <c r="D177" s="10" t="s">
        <v>1253</v>
      </c>
      <c r="E177" s="10" t="s">
        <v>1254</v>
      </c>
      <c r="F177" s="10" t="s">
        <v>1255</v>
      </c>
      <c r="G177" s="10" t="s">
        <v>1256</v>
      </c>
    </row>
    <row r="178" spans="1:7" ht="43.2" x14ac:dyDescent="0.3">
      <c r="A178" s="10">
        <v>177</v>
      </c>
      <c r="B178" s="10" t="s">
        <v>1257</v>
      </c>
      <c r="C178" s="10" t="s">
        <v>121</v>
      </c>
      <c r="D178" s="10" t="s">
        <v>139</v>
      </c>
      <c r="E178" s="10" t="s">
        <v>1221</v>
      </c>
      <c r="F178" s="10" t="s">
        <v>1258</v>
      </c>
      <c r="G178" s="10" t="s">
        <v>1259</v>
      </c>
    </row>
    <row r="179" spans="1:7" ht="43.2" x14ac:dyDescent="0.3">
      <c r="A179" s="10">
        <v>178</v>
      </c>
      <c r="B179" s="10" t="s">
        <v>1257</v>
      </c>
      <c r="C179" s="10" t="s">
        <v>126</v>
      </c>
      <c r="D179" s="10" t="s">
        <v>138</v>
      </c>
      <c r="E179" s="10" t="s">
        <v>139</v>
      </c>
      <c r="F179" s="10" t="s">
        <v>1260</v>
      </c>
      <c r="G179" s="10" t="s">
        <v>1261</v>
      </c>
    </row>
    <row r="180" spans="1:7" ht="43.2" x14ac:dyDescent="0.3">
      <c r="A180" s="10">
        <v>179</v>
      </c>
      <c r="B180" s="10" t="s">
        <v>1257</v>
      </c>
      <c r="C180" s="10" t="s">
        <v>128</v>
      </c>
      <c r="D180" s="10" t="s">
        <v>137</v>
      </c>
      <c r="E180" s="10" t="s">
        <v>139</v>
      </c>
      <c r="F180" s="10" t="s">
        <v>1262</v>
      </c>
      <c r="G180" s="10" t="s">
        <v>1263</v>
      </c>
    </row>
    <row r="181" spans="1:7" ht="57.6" x14ac:dyDescent="0.3">
      <c r="A181" s="10">
        <v>180</v>
      </c>
      <c r="B181" s="10" t="s">
        <v>1257</v>
      </c>
      <c r="C181" s="10" t="s">
        <v>519</v>
      </c>
      <c r="D181" s="10" t="s">
        <v>1264</v>
      </c>
      <c r="E181" s="10" t="s">
        <v>139</v>
      </c>
      <c r="F181" s="10" t="s">
        <v>1265</v>
      </c>
      <c r="G181" s="10" t="s">
        <v>1266</v>
      </c>
    </row>
    <row r="182" spans="1:7" ht="43.2" x14ac:dyDescent="0.3">
      <c r="A182" s="10">
        <v>181</v>
      </c>
      <c r="B182" s="10" t="s">
        <v>1257</v>
      </c>
      <c r="C182" s="10" t="s">
        <v>521</v>
      </c>
      <c r="D182" s="10" t="s">
        <v>1267</v>
      </c>
      <c r="E182" s="10" t="s">
        <v>139</v>
      </c>
      <c r="F182" s="10" t="s">
        <v>1268</v>
      </c>
      <c r="G182" s="10" t="s">
        <v>1269</v>
      </c>
    </row>
    <row r="183" spans="1:7" ht="43.2" x14ac:dyDescent="0.3">
      <c r="A183" s="10">
        <v>182</v>
      </c>
      <c r="B183" s="10" t="s">
        <v>1270</v>
      </c>
      <c r="C183" s="10" t="s">
        <v>524</v>
      </c>
      <c r="D183" s="10" t="s">
        <v>1271</v>
      </c>
      <c r="E183" s="10" t="s">
        <v>134</v>
      </c>
      <c r="F183" s="10" t="s">
        <v>1272</v>
      </c>
      <c r="G183" s="10" t="s">
        <v>1273</v>
      </c>
    </row>
    <row r="184" spans="1:7" ht="57.6" x14ac:dyDescent="0.3">
      <c r="A184" s="10">
        <v>183</v>
      </c>
      <c r="B184" s="10" t="s">
        <v>1270</v>
      </c>
      <c r="C184" s="10" t="s">
        <v>526</v>
      </c>
      <c r="D184" s="10" t="s">
        <v>1274</v>
      </c>
      <c r="E184" s="10" t="s">
        <v>1271</v>
      </c>
      <c r="F184" s="10" t="s">
        <v>1275</v>
      </c>
      <c r="G184" s="10" t="s">
        <v>1276</v>
      </c>
    </row>
    <row r="185" spans="1:7" ht="57.6" x14ac:dyDescent="0.3">
      <c r="A185" s="10">
        <v>184</v>
      </c>
      <c r="B185" s="10" t="s">
        <v>1270</v>
      </c>
      <c r="C185" s="10" t="s">
        <v>528</v>
      </c>
      <c r="D185" s="10" t="s">
        <v>1277</v>
      </c>
      <c r="E185" s="10" t="s">
        <v>1271</v>
      </c>
      <c r="F185" s="10" t="s">
        <v>1278</v>
      </c>
      <c r="G185" s="10" t="s">
        <v>1279</v>
      </c>
    </row>
    <row r="186" spans="1:7" ht="57.6" x14ac:dyDescent="0.3">
      <c r="A186" s="10">
        <v>185</v>
      </c>
      <c r="B186" s="10" t="s">
        <v>1270</v>
      </c>
      <c r="C186" s="10" t="s">
        <v>530</v>
      </c>
      <c r="D186" s="10" t="s">
        <v>1280</v>
      </c>
      <c r="E186" s="10" t="s">
        <v>139</v>
      </c>
      <c r="F186" s="10" t="s">
        <v>1281</v>
      </c>
      <c r="G186" s="10" t="s">
        <v>1282</v>
      </c>
    </row>
    <row r="187" spans="1:7" ht="57.6" x14ac:dyDescent="0.3">
      <c r="A187" s="10">
        <v>186</v>
      </c>
      <c r="B187" s="10" t="s">
        <v>1270</v>
      </c>
      <c r="C187" s="10" t="s">
        <v>532</v>
      </c>
      <c r="D187" s="10" t="s">
        <v>1283</v>
      </c>
      <c r="E187" s="10" t="s">
        <v>1271</v>
      </c>
      <c r="F187" s="10" t="s">
        <v>1284</v>
      </c>
      <c r="G187" s="10" t="s">
        <v>1285</v>
      </c>
    </row>
    <row r="188" spans="1:7" ht="43.2" x14ac:dyDescent="0.3">
      <c r="A188" s="10">
        <v>187</v>
      </c>
      <c r="B188" s="10" t="s">
        <v>1270</v>
      </c>
      <c r="C188" s="10" t="s">
        <v>534</v>
      </c>
      <c r="D188" s="10" t="s">
        <v>1286</v>
      </c>
      <c r="E188" s="10" t="s">
        <v>1271</v>
      </c>
      <c r="F188" s="10" t="s">
        <v>1287</v>
      </c>
      <c r="G188" s="10" t="s">
        <v>1288</v>
      </c>
    </row>
    <row r="189" spans="1:7" ht="57.6" x14ac:dyDescent="0.3">
      <c r="A189" s="10">
        <v>188</v>
      </c>
      <c r="B189" s="10" t="s">
        <v>1270</v>
      </c>
      <c r="C189" s="10" t="s">
        <v>536</v>
      </c>
      <c r="D189" s="10" t="s">
        <v>1289</v>
      </c>
      <c r="E189" s="10" t="s">
        <v>139</v>
      </c>
      <c r="F189" s="10" t="s">
        <v>1290</v>
      </c>
      <c r="G189" s="10" t="s">
        <v>1291</v>
      </c>
    </row>
    <row r="190" spans="1:7" ht="43.2" x14ac:dyDescent="0.3">
      <c r="A190" s="10">
        <v>189</v>
      </c>
      <c r="B190" s="10" t="s">
        <v>1270</v>
      </c>
      <c r="C190" s="10" t="s">
        <v>538</v>
      </c>
      <c r="D190" s="10" t="s">
        <v>1292</v>
      </c>
      <c r="E190" s="10" t="s">
        <v>1221</v>
      </c>
      <c r="F190" s="10" t="s">
        <v>1293</v>
      </c>
      <c r="G190" s="10" t="s">
        <v>1294</v>
      </c>
    </row>
    <row r="191" spans="1:7" ht="43.2" x14ac:dyDescent="0.3">
      <c r="A191" s="10">
        <v>190</v>
      </c>
      <c r="B191" s="10" t="s">
        <v>1270</v>
      </c>
      <c r="C191" s="10" t="s">
        <v>540</v>
      </c>
      <c r="D191" s="10" t="s">
        <v>1254</v>
      </c>
      <c r="E191" s="10" t="s">
        <v>1221</v>
      </c>
      <c r="F191" s="10" t="s">
        <v>1295</v>
      </c>
      <c r="G191" s="10" t="s">
        <v>1296</v>
      </c>
    </row>
    <row r="192" spans="1:7" ht="43.2" x14ac:dyDescent="0.3">
      <c r="A192" s="10">
        <v>191</v>
      </c>
      <c r="B192" s="10" t="s">
        <v>1270</v>
      </c>
      <c r="C192" s="10" t="s">
        <v>542</v>
      </c>
      <c r="D192" s="10" t="s">
        <v>1297</v>
      </c>
      <c r="E192" s="10" t="s">
        <v>1254</v>
      </c>
      <c r="F192" s="10" t="s">
        <v>1298</v>
      </c>
      <c r="G192" s="10" t="s">
        <v>1299</v>
      </c>
    </row>
    <row r="193" spans="1:7" ht="43.2" x14ac:dyDescent="0.3">
      <c r="A193" s="10">
        <v>192</v>
      </c>
      <c r="B193" s="10" t="s">
        <v>1270</v>
      </c>
      <c r="C193" s="10" t="s">
        <v>544</v>
      </c>
      <c r="D193" s="10" t="s">
        <v>1300</v>
      </c>
      <c r="E193" s="10" t="s">
        <v>1254</v>
      </c>
      <c r="F193" s="10" t="s">
        <v>1301</v>
      </c>
      <c r="G193" s="10" t="s">
        <v>1302</v>
      </c>
    </row>
    <row r="194" spans="1:7" ht="43.2" x14ac:dyDescent="0.3">
      <c r="A194" s="10">
        <v>193</v>
      </c>
      <c r="B194" s="10" t="s">
        <v>1270</v>
      </c>
      <c r="C194" s="10" t="s">
        <v>546</v>
      </c>
      <c r="D194" s="10" t="s">
        <v>1303</v>
      </c>
      <c r="E194" s="10" t="s">
        <v>1254</v>
      </c>
      <c r="F194" s="10" t="s">
        <v>1304</v>
      </c>
      <c r="G194" s="10" t="s">
        <v>1305</v>
      </c>
    </row>
    <row r="195" spans="1:7" ht="43.2" x14ac:dyDescent="0.3">
      <c r="A195" s="10">
        <v>194</v>
      </c>
      <c r="B195" s="10" t="s">
        <v>1270</v>
      </c>
      <c r="C195" s="10" t="s">
        <v>548</v>
      </c>
      <c r="D195" s="10" t="s">
        <v>1306</v>
      </c>
      <c r="E195" s="10" t="s">
        <v>1254</v>
      </c>
      <c r="F195" s="10" t="s">
        <v>1307</v>
      </c>
      <c r="G195" s="10" t="s">
        <v>1308</v>
      </c>
    </row>
    <row r="196" spans="1:7" ht="43.2" x14ac:dyDescent="0.3">
      <c r="A196" s="10">
        <v>195</v>
      </c>
      <c r="B196" s="10" t="s">
        <v>1270</v>
      </c>
      <c r="C196" s="10" t="s">
        <v>550</v>
      </c>
      <c r="D196" s="10" t="s">
        <v>1309</v>
      </c>
      <c r="E196" s="10" t="s">
        <v>134</v>
      </c>
      <c r="F196" s="10" t="s">
        <v>1310</v>
      </c>
      <c r="G196" s="10" t="s">
        <v>1311</v>
      </c>
    </row>
    <row r="197" spans="1:7" ht="43.2" x14ac:dyDescent="0.3">
      <c r="A197" s="10">
        <v>196</v>
      </c>
      <c r="B197" s="10" t="s">
        <v>1270</v>
      </c>
      <c r="C197" s="10" t="s">
        <v>552</v>
      </c>
      <c r="D197" s="10" t="s">
        <v>1312</v>
      </c>
      <c r="E197" s="10" t="s">
        <v>1221</v>
      </c>
      <c r="F197" s="10" t="s">
        <v>1313</v>
      </c>
      <c r="G197" s="10" t="s">
        <v>1314</v>
      </c>
    </row>
    <row r="198" spans="1:7" ht="57.6" x14ac:dyDescent="0.3">
      <c r="A198" s="10">
        <v>197</v>
      </c>
      <c r="B198" s="10" t="s">
        <v>1270</v>
      </c>
      <c r="C198" s="10" t="s">
        <v>554</v>
      </c>
      <c r="D198" s="10" t="s">
        <v>1315</v>
      </c>
      <c r="E198" s="10" t="s">
        <v>1312</v>
      </c>
      <c r="F198" s="10" t="s">
        <v>1316</v>
      </c>
      <c r="G198" s="10" t="s">
        <v>1317</v>
      </c>
    </row>
    <row r="199" spans="1:7" ht="43.2" x14ac:dyDescent="0.3">
      <c r="A199" s="10">
        <v>198</v>
      </c>
      <c r="B199" s="10" t="s">
        <v>1270</v>
      </c>
      <c r="C199" s="10" t="s">
        <v>556</v>
      </c>
      <c r="D199" s="10" t="s">
        <v>1318</v>
      </c>
      <c r="E199" s="10" t="s">
        <v>134</v>
      </c>
      <c r="F199" s="10" t="s">
        <v>1319</v>
      </c>
      <c r="G199" s="10" t="s">
        <v>1320</v>
      </c>
    </row>
    <row r="200" spans="1:7" ht="43.2" x14ac:dyDescent="0.3">
      <c r="A200" s="10">
        <v>199</v>
      </c>
      <c r="B200" s="10" t="s">
        <v>1270</v>
      </c>
      <c r="C200" s="10" t="s">
        <v>558</v>
      </c>
      <c r="D200" s="10" t="s">
        <v>1321</v>
      </c>
      <c r="E200" s="10" t="s">
        <v>1312</v>
      </c>
      <c r="F200" s="10" t="s">
        <v>1322</v>
      </c>
      <c r="G200" s="10" t="s">
        <v>1323</v>
      </c>
    </row>
    <row r="201" spans="1:7" ht="57.6" x14ac:dyDescent="0.3">
      <c r="A201" s="10">
        <v>200</v>
      </c>
      <c r="B201" s="10" t="s">
        <v>1270</v>
      </c>
      <c r="C201" s="10" t="s">
        <v>560</v>
      </c>
      <c r="D201" s="10" t="s">
        <v>1324</v>
      </c>
      <c r="E201" s="10" t="s">
        <v>139</v>
      </c>
      <c r="F201" s="10" t="s">
        <v>1325</v>
      </c>
      <c r="G201" s="10" t="s">
        <v>1326</v>
      </c>
    </row>
    <row r="202" spans="1:7" ht="43.2" x14ac:dyDescent="0.3">
      <c r="A202" s="10">
        <v>201</v>
      </c>
      <c r="B202" s="10" t="s">
        <v>1270</v>
      </c>
      <c r="C202" s="10" t="s">
        <v>562</v>
      </c>
      <c r="D202" s="10" t="s">
        <v>1327</v>
      </c>
      <c r="E202" s="10" t="s">
        <v>1221</v>
      </c>
      <c r="F202" s="10" t="s">
        <v>1328</v>
      </c>
      <c r="G202" s="10" t="s">
        <v>1329</v>
      </c>
    </row>
    <row r="203" spans="1:7" ht="43.2" x14ac:dyDescent="0.3">
      <c r="A203" s="10">
        <v>202</v>
      </c>
      <c r="B203" s="10" t="s">
        <v>1270</v>
      </c>
      <c r="C203" s="10" t="s">
        <v>564</v>
      </c>
      <c r="D203" s="10" t="s">
        <v>1330</v>
      </c>
      <c r="E203" s="10" t="s">
        <v>139</v>
      </c>
      <c r="F203" s="10" t="s">
        <v>1331</v>
      </c>
      <c r="G203" s="10" t="s">
        <v>1332</v>
      </c>
    </row>
    <row r="204" spans="1:7" ht="43.2" x14ac:dyDescent="0.3">
      <c r="A204" s="10">
        <v>203</v>
      </c>
      <c r="B204" s="10" t="s">
        <v>1270</v>
      </c>
      <c r="C204" s="10" t="s">
        <v>566</v>
      </c>
      <c r="D204" s="10" t="s">
        <v>1333</v>
      </c>
      <c r="E204" s="10" t="s">
        <v>134</v>
      </c>
      <c r="F204" s="10" t="s">
        <v>1334</v>
      </c>
      <c r="G204" s="10" t="s">
        <v>1335</v>
      </c>
    </row>
    <row r="205" spans="1:7" ht="28.8" x14ac:dyDescent="0.3">
      <c r="A205" s="10">
        <v>204</v>
      </c>
      <c r="B205" s="10" t="s">
        <v>1336</v>
      </c>
      <c r="C205" s="10" t="s">
        <v>569</v>
      </c>
      <c r="D205" s="10" t="s">
        <v>1337</v>
      </c>
      <c r="E205" s="10" t="s">
        <v>132</v>
      </c>
      <c r="F205" s="10" t="s">
        <v>1338</v>
      </c>
      <c r="G205" s="10" t="s">
        <v>1339</v>
      </c>
    </row>
    <row r="206" spans="1:7" ht="28.8" x14ac:dyDescent="0.3">
      <c r="A206" s="10">
        <v>205</v>
      </c>
      <c r="B206" s="10" t="s">
        <v>1336</v>
      </c>
      <c r="C206" s="10" t="s">
        <v>571</v>
      </c>
      <c r="D206" s="10" t="s">
        <v>1340</v>
      </c>
      <c r="E206" s="10" t="s">
        <v>1337</v>
      </c>
      <c r="F206" s="10" t="s">
        <v>1341</v>
      </c>
      <c r="G206" s="10" t="s">
        <v>1342</v>
      </c>
    </row>
    <row r="207" spans="1:7" ht="28.8" x14ac:dyDescent="0.3">
      <c r="A207" s="10">
        <v>206</v>
      </c>
      <c r="B207" s="10" t="s">
        <v>1336</v>
      </c>
      <c r="C207" s="10" t="s">
        <v>573</v>
      </c>
      <c r="D207" s="10" t="s">
        <v>1343</v>
      </c>
      <c r="E207" s="10" t="s">
        <v>1337</v>
      </c>
      <c r="F207" s="10" t="s">
        <v>1344</v>
      </c>
      <c r="G207" s="10" t="s">
        <v>1345</v>
      </c>
    </row>
    <row r="208" spans="1:7" ht="28.8" x14ac:dyDescent="0.3">
      <c r="A208" s="10">
        <v>207</v>
      </c>
      <c r="B208" s="10" t="s">
        <v>1336</v>
      </c>
      <c r="C208" s="10" t="s">
        <v>575</v>
      </c>
      <c r="D208" s="10" t="s">
        <v>1346</v>
      </c>
      <c r="E208" s="10" t="s">
        <v>1337</v>
      </c>
      <c r="F208" s="10" t="s">
        <v>1347</v>
      </c>
      <c r="G208" s="10" t="s">
        <v>1348</v>
      </c>
    </row>
    <row r="209" spans="1:7" ht="28.8" x14ac:dyDescent="0.3">
      <c r="A209" s="10">
        <v>208</v>
      </c>
      <c r="B209" s="10" t="s">
        <v>1336</v>
      </c>
      <c r="C209" s="10" t="s">
        <v>577</v>
      </c>
      <c r="D209" s="10" t="s">
        <v>1349</v>
      </c>
      <c r="E209" s="10" t="s">
        <v>1337</v>
      </c>
      <c r="F209" s="10" t="s">
        <v>1350</v>
      </c>
      <c r="G209" s="10" t="s">
        <v>1351</v>
      </c>
    </row>
    <row r="210" spans="1:7" ht="28.8" x14ac:dyDescent="0.3">
      <c r="A210" s="10">
        <v>209</v>
      </c>
      <c r="B210" s="10" t="s">
        <v>1336</v>
      </c>
      <c r="C210" s="10" t="s">
        <v>579</v>
      </c>
      <c r="D210" s="10" t="s">
        <v>1352</v>
      </c>
      <c r="E210" s="10" t="s">
        <v>1337</v>
      </c>
      <c r="F210" s="10" t="s">
        <v>1353</v>
      </c>
      <c r="G210" s="10" t="s">
        <v>1354</v>
      </c>
    </row>
    <row r="211" spans="1:7" ht="28.8" x14ac:dyDescent="0.3">
      <c r="A211" s="10">
        <v>210</v>
      </c>
      <c r="B211" s="10" t="s">
        <v>1336</v>
      </c>
      <c r="C211" s="10" t="s">
        <v>581</v>
      </c>
      <c r="D211" s="10" t="s">
        <v>1355</v>
      </c>
      <c r="E211" s="10" t="s">
        <v>1337</v>
      </c>
      <c r="F211" s="10" t="s">
        <v>1356</v>
      </c>
      <c r="G211" s="10" t="s">
        <v>1357</v>
      </c>
    </row>
    <row r="212" spans="1:7" ht="28.8" x14ac:dyDescent="0.3">
      <c r="A212" s="10">
        <v>211</v>
      </c>
      <c r="B212" s="10" t="s">
        <v>1336</v>
      </c>
      <c r="C212" s="10" t="s">
        <v>583</v>
      </c>
      <c r="D212" s="10" t="s">
        <v>1358</v>
      </c>
      <c r="E212" s="10" t="s">
        <v>1337</v>
      </c>
      <c r="F212" s="10" t="s">
        <v>1359</v>
      </c>
      <c r="G212" s="10" t="s">
        <v>1360</v>
      </c>
    </row>
    <row r="213" spans="1:7" ht="28.8" x14ac:dyDescent="0.3">
      <c r="A213" s="10">
        <v>212</v>
      </c>
      <c r="B213" s="10" t="s">
        <v>1336</v>
      </c>
      <c r="C213" s="10" t="s">
        <v>585</v>
      </c>
      <c r="D213" s="10" t="s">
        <v>1361</v>
      </c>
      <c r="E213" s="10" t="s">
        <v>1337</v>
      </c>
      <c r="F213" s="10" t="s">
        <v>1362</v>
      </c>
      <c r="G213" s="10" t="s">
        <v>1363</v>
      </c>
    </row>
    <row r="214" spans="1:7" ht="28.8" x14ac:dyDescent="0.3">
      <c r="A214" s="10">
        <v>213</v>
      </c>
      <c r="B214" s="10" t="s">
        <v>1336</v>
      </c>
      <c r="C214" s="10" t="s">
        <v>587</v>
      </c>
      <c r="D214" s="10" t="s">
        <v>1364</v>
      </c>
      <c r="E214" s="10" t="s">
        <v>1337</v>
      </c>
      <c r="F214" s="10" t="s">
        <v>1365</v>
      </c>
      <c r="G214" s="10" t="s">
        <v>1366</v>
      </c>
    </row>
    <row r="215" spans="1:7" ht="28.8" x14ac:dyDescent="0.3">
      <c r="A215" s="10">
        <v>214</v>
      </c>
      <c r="B215" s="10" t="s">
        <v>1336</v>
      </c>
      <c r="C215" s="10" t="s">
        <v>589</v>
      </c>
      <c r="D215" s="10" t="s">
        <v>1367</v>
      </c>
      <c r="E215" s="10" t="s">
        <v>1337</v>
      </c>
      <c r="F215" s="10" t="s">
        <v>1368</v>
      </c>
      <c r="G215" s="10" t="s">
        <v>1369</v>
      </c>
    </row>
    <row r="216" spans="1:7" ht="28.8" x14ac:dyDescent="0.3">
      <c r="A216" s="10">
        <v>215</v>
      </c>
      <c r="B216" s="10" t="s">
        <v>1336</v>
      </c>
      <c r="C216" s="10" t="s">
        <v>591</v>
      </c>
      <c r="D216" s="10" t="s">
        <v>1370</v>
      </c>
      <c r="E216" s="10" t="s">
        <v>132</v>
      </c>
      <c r="F216" s="10" t="s">
        <v>1371</v>
      </c>
      <c r="G216" s="10" t="s">
        <v>1372</v>
      </c>
    </row>
    <row r="217" spans="1:7" ht="28.8" x14ac:dyDescent="0.3">
      <c r="A217" s="10">
        <v>216</v>
      </c>
      <c r="B217" s="10" t="s">
        <v>1336</v>
      </c>
      <c r="C217" s="10" t="s">
        <v>593</v>
      </c>
      <c r="D217" s="10" t="s">
        <v>1373</v>
      </c>
      <c r="E217" s="10" t="s">
        <v>132</v>
      </c>
      <c r="F217" s="10" t="s">
        <v>1374</v>
      </c>
      <c r="G217" s="10" t="s">
        <v>1375</v>
      </c>
    </row>
    <row r="218" spans="1:7" ht="28.8" x14ac:dyDescent="0.3">
      <c r="A218" s="10">
        <v>217</v>
      </c>
      <c r="B218" s="10" t="s">
        <v>1336</v>
      </c>
      <c r="C218" s="10" t="s">
        <v>595</v>
      </c>
      <c r="D218" s="10" t="s">
        <v>1376</v>
      </c>
      <c r="E218" s="10" t="s">
        <v>132</v>
      </c>
      <c r="F218" s="10" t="s">
        <v>1377</v>
      </c>
      <c r="G218" s="10" t="s">
        <v>1378</v>
      </c>
    </row>
    <row r="219" spans="1:7" ht="28.8" x14ac:dyDescent="0.3">
      <c r="A219" s="10">
        <v>218</v>
      </c>
      <c r="B219" s="10" t="s">
        <v>1379</v>
      </c>
      <c r="C219" s="10" t="s">
        <v>598</v>
      </c>
      <c r="D219" s="10" t="s">
        <v>1380</v>
      </c>
      <c r="E219" s="10" t="s">
        <v>1373</v>
      </c>
      <c r="F219" s="10" t="s">
        <v>1381</v>
      </c>
      <c r="G219" s="10" t="s">
        <v>1382</v>
      </c>
    </row>
    <row r="220" spans="1:7" ht="28.8" x14ac:dyDescent="0.3">
      <c r="A220" s="10">
        <v>219</v>
      </c>
      <c r="B220" s="10" t="s">
        <v>1379</v>
      </c>
      <c r="C220" s="10" t="s">
        <v>600</v>
      </c>
      <c r="D220" s="10" t="s">
        <v>1383</v>
      </c>
      <c r="E220" s="10" t="s">
        <v>1373</v>
      </c>
      <c r="F220" s="10" t="s">
        <v>1384</v>
      </c>
      <c r="G220" s="10" t="s">
        <v>1385</v>
      </c>
    </row>
    <row r="221" spans="1:7" ht="28.8" x14ac:dyDescent="0.3">
      <c r="A221" s="10">
        <v>220</v>
      </c>
      <c r="B221" s="10" t="s">
        <v>1379</v>
      </c>
      <c r="C221" s="10" t="s">
        <v>602</v>
      </c>
      <c r="D221" s="10" t="s">
        <v>1386</v>
      </c>
      <c r="E221" s="10" t="s">
        <v>1373</v>
      </c>
      <c r="F221" s="10" t="s">
        <v>1387</v>
      </c>
      <c r="G221" s="10" t="s">
        <v>1388</v>
      </c>
    </row>
    <row r="222" spans="1:7" ht="28.8" x14ac:dyDescent="0.3">
      <c r="A222" s="10">
        <v>221</v>
      </c>
      <c r="B222" s="10" t="s">
        <v>1379</v>
      </c>
      <c r="C222" s="10" t="s">
        <v>604</v>
      </c>
      <c r="D222" s="10" t="s">
        <v>1389</v>
      </c>
      <c r="E222" s="10" t="s">
        <v>1373</v>
      </c>
      <c r="F222" s="10" t="s">
        <v>1390</v>
      </c>
      <c r="G222" s="10" t="s">
        <v>1391</v>
      </c>
    </row>
    <row r="223" spans="1:7" ht="43.2" x14ac:dyDescent="0.3">
      <c r="A223" s="10">
        <v>222</v>
      </c>
      <c r="B223" s="10" t="s">
        <v>1379</v>
      </c>
      <c r="C223" s="10" t="s">
        <v>606</v>
      </c>
      <c r="D223" s="10" t="s">
        <v>1392</v>
      </c>
      <c r="E223" s="10" t="s">
        <v>1373</v>
      </c>
      <c r="F223" s="10" t="s">
        <v>1393</v>
      </c>
      <c r="G223" s="10" t="s">
        <v>1394</v>
      </c>
    </row>
    <row r="224" spans="1:7" ht="28.8" x14ac:dyDescent="0.3">
      <c r="A224" s="10">
        <v>223</v>
      </c>
      <c r="B224" s="10" t="s">
        <v>1379</v>
      </c>
      <c r="C224" s="10" t="s">
        <v>608</v>
      </c>
      <c r="D224" s="10" t="s">
        <v>1395</v>
      </c>
      <c r="E224" s="10" t="s">
        <v>1373</v>
      </c>
      <c r="F224" s="10" t="s">
        <v>1396</v>
      </c>
      <c r="G224" s="10" t="s">
        <v>1397</v>
      </c>
    </row>
    <row r="225" spans="1:7" ht="28.8" x14ac:dyDescent="0.3">
      <c r="A225" s="10">
        <v>224</v>
      </c>
      <c r="B225" s="10" t="s">
        <v>1379</v>
      </c>
      <c r="C225" s="10" t="s">
        <v>610</v>
      </c>
      <c r="D225" s="10" t="s">
        <v>1398</v>
      </c>
      <c r="E225" s="10" t="s">
        <v>1373</v>
      </c>
      <c r="F225" s="10" t="s">
        <v>1399</v>
      </c>
      <c r="G225" s="10" t="s">
        <v>1400</v>
      </c>
    </row>
    <row r="226" spans="1:7" ht="28.8" x14ac:dyDescent="0.3">
      <c r="A226" s="10">
        <v>225</v>
      </c>
      <c r="B226" s="10" t="s">
        <v>1379</v>
      </c>
      <c r="C226" s="10" t="s">
        <v>612</v>
      </c>
      <c r="D226" s="10" t="s">
        <v>1401</v>
      </c>
      <c r="E226" s="10" t="s">
        <v>1373</v>
      </c>
      <c r="F226" s="10" t="s">
        <v>1402</v>
      </c>
      <c r="G226" s="10" t="s">
        <v>1403</v>
      </c>
    </row>
    <row r="227" spans="1:7" ht="28.8" x14ac:dyDescent="0.3">
      <c r="A227" s="10">
        <v>226</v>
      </c>
      <c r="B227" s="10" t="s">
        <v>1379</v>
      </c>
      <c r="C227" s="10" t="s">
        <v>614</v>
      </c>
      <c r="D227" s="10" t="s">
        <v>1404</v>
      </c>
      <c r="E227" s="10" t="s">
        <v>1373</v>
      </c>
      <c r="F227" s="10" t="s">
        <v>1405</v>
      </c>
      <c r="G227" s="10" t="s">
        <v>1406</v>
      </c>
    </row>
    <row r="228" spans="1:7" ht="28.8" x14ac:dyDescent="0.3">
      <c r="A228" s="10">
        <v>227</v>
      </c>
      <c r="B228" s="10" t="s">
        <v>1379</v>
      </c>
      <c r="C228" s="10" t="s">
        <v>616</v>
      </c>
      <c r="D228" s="10" t="s">
        <v>1407</v>
      </c>
      <c r="E228" s="10" t="s">
        <v>1373</v>
      </c>
      <c r="F228" s="10" t="s">
        <v>1408</v>
      </c>
      <c r="G228" s="10" t="s">
        <v>1409</v>
      </c>
    </row>
    <row r="229" spans="1:7" ht="28.8" x14ac:dyDescent="0.3">
      <c r="A229" s="10">
        <v>228</v>
      </c>
      <c r="B229" s="10" t="s">
        <v>1379</v>
      </c>
      <c r="C229" s="10" t="s">
        <v>618</v>
      </c>
      <c r="D229" s="10" t="s">
        <v>1410</v>
      </c>
      <c r="E229" s="10" t="s">
        <v>1373</v>
      </c>
      <c r="F229" s="10" t="s">
        <v>1411</v>
      </c>
      <c r="G229" s="10" t="s">
        <v>1412</v>
      </c>
    </row>
    <row r="230" spans="1:7" ht="28.8" x14ac:dyDescent="0.3">
      <c r="A230" s="10">
        <v>229</v>
      </c>
      <c r="B230" s="10" t="s">
        <v>1379</v>
      </c>
      <c r="C230" s="10" t="s">
        <v>620</v>
      </c>
      <c r="D230" s="10" t="s">
        <v>1413</v>
      </c>
      <c r="E230" s="10" t="s">
        <v>1373</v>
      </c>
      <c r="F230" s="10" t="s">
        <v>1414</v>
      </c>
      <c r="G230" s="10" t="s">
        <v>1415</v>
      </c>
    </row>
    <row r="231" spans="1:7" ht="28.8" x14ac:dyDescent="0.3">
      <c r="A231" s="10">
        <v>230</v>
      </c>
      <c r="B231" s="10" t="s">
        <v>1379</v>
      </c>
      <c r="C231" s="10" t="s">
        <v>622</v>
      </c>
      <c r="D231" s="10" t="s">
        <v>1416</v>
      </c>
      <c r="E231" s="10" t="s">
        <v>1373</v>
      </c>
      <c r="F231" s="10" t="s">
        <v>1417</v>
      </c>
      <c r="G231" s="10" t="s">
        <v>1418</v>
      </c>
    </row>
    <row r="232" spans="1:7" ht="28.8" x14ac:dyDescent="0.3">
      <c r="A232" s="10">
        <v>231</v>
      </c>
      <c r="B232" s="10" t="s">
        <v>1379</v>
      </c>
      <c r="C232" s="10" t="s">
        <v>624</v>
      </c>
      <c r="D232" s="10" t="s">
        <v>1419</v>
      </c>
      <c r="E232" s="10" t="s">
        <v>1373</v>
      </c>
      <c r="F232" s="10" t="s">
        <v>1420</v>
      </c>
      <c r="G232" s="10" t="s">
        <v>1421</v>
      </c>
    </row>
    <row r="233" spans="1:7" ht="43.2" x14ac:dyDescent="0.3">
      <c r="A233" s="10">
        <v>232</v>
      </c>
      <c r="B233" s="10" t="s">
        <v>1379</v>
      </c>
      <c r="C233" s="10" t="s">
        <v>626</v>
      </c>
      <c r="D233" s="10" t="s">
        <v>1422</v>
      </c>
      <c r="E233" s="10" t="s">
        <v>1373</v>
      </c>
      <c r="F233" s="10" t="s">
        <v>1423</v>
      </c>
      <c r="G233" s="10" t="s">
        <v>1424</v>
      </c>
    </row>
    <row r="234" spans="1:7" ht="28.8" x14ac:dyDescent="0.3">
      <c r="A234" s="10">
        <v>233</v>
      </c>
      <c r="B234" s="10" t="s">
        <v>1379</v>
      </c>
      <c r="C234" s="10" t="s">
        <v>628</v>
      </c>
      <c r="D234" s="10" t="s">
        <v>1425</v>
      </c>
      <c r="E234" s="10" t="s">
        <v>1373</v>
      </c>
      <c r="F234" s="10" t="s">
        <v>1426</v>
      </c>
      <c r="G234" s="10" t="s">
        <v>1427</v>
      </c>
    </row>
    <row r="235" spans="1:7" ht="43.2" x14ac:dyDescent="0.3">
      <c r="A235" s="10">
        <v>234</v>
      </c>
      <c r="B235" s="10" t="s">
        <v>1379</v>
      </c>
      <c r="C235" s="10" t="s">
        <v>630</v>
      </c>
      <c r="D235" s="10" t="s">
        <v>1428</v>
      </c>
      <c r="E235" s="10" t="s">
        <v>1373</v>
      </c>
      <c r="F235" s="10" t="s">
        <v>1429</v>
      </c>
      <c r="G235" s="10" t="s">
        <v>1430</v>
      </c>
    </row>
    <row r="236" spans="1:7" ht="43.2" x14ac:dyDescent="0.3">
      <c r="A236" s="10">
        <v>235</v>
      </c>
      <c r="B236" s="10" t="s">
        <v>1379</v>
      </c>
      <c r="C236" s="10" t="s">
        <v>632</v>
      </c>
      <c r="D236" s="10" t="s">
        <v>1431</v>
      </c>
      <c r="E236" s="10" t="s">
        <v>1373</v>
      </c>
      <c r="F236" s="10" t="s">
        <v>1432</v>
      </c>
      <c r="G236" s="10" t="s">
        <v>1433</v>
      </c>
    </row>
    <row r="237" spans="1:7" ht="28.8" x14ac:dyDescent="0.3">
      <c r="A237" s="10">
        <v>236</v>
      </c>
      <c r="B237" s="10" t="s">
        <v>1379</v>
      </c>
      <c r="C237" s="10" t="s">
        <v>634</v>
      </c>
      <c r="D237" s="10" t="s">
        <v>1434</v>
      </c>
      <c r="E237" s="10" t="s">
        <v>1373</v>
      </c>
      <c r="F237" s="10" t="s">
        <v>1435</v>
      </c>
      <c r="G237" s="10" t="s">
        <v>1436</v>
      </c>
    </row>
    <row r="238" spans="1:7" ht="43.2" x14ac:dyDescent="0.3">
      <c r="A238" s="10">
        <v>237</v>
      </c>
      <c r="B238" s="10" t="s">
        <v>1379</v>
      </c>
      <c r="C238" s="10" t="s">
        <v>636</v>
      </c>
      <c r="D238" s="10" t="s">
        <v>1437</v>
      </c>
      <c r="E238" s="10" t="s">
        <v>1373</v>
      </c>
      <c r="F238" s="10" t="s">
        <v>1438</v>
      </c>
      <c r="G238" s="10" t="s">
        <v>1439</v>
      </c>
    </row>
    <row r="239" spans="1:7" ht="28.8" x14ac:dyDescent="0.3">
      <c r="A239" s="10">
        <v>238</v>
      </c>
      <c r="B239" s="10" t="s">
        <v>1379</v>
      </c>
      <c r="C239" s="10" t="s">
        <v>638</v>
      </c>
      <c r="D239" s="10" t="s">
        <v>1440</v>
      </c>
      <c r="E239" s="10" t="s">
        <v>1373</v>
      </c>
      <c r="F239" s="10" t="s">
        <v>1441</v>
      </c>
      <c r="G239" s="10" t="s">
        <v>1442</v>
      </c>
    </row>
    <row r="240" spans="1:7" ht="28.8" x14ac:dyDescent="0.3">
      <c r="A240" s="10">
        <v>239</v>
      </c>
      <c r="B240" s="10" t="s">
        <v>1379</v>
      </c>
      <c r="C240" s="10" t="s">
        <v>640</v>
      </c>
      <c r="D240" s="10" t="s">
        <v>1443</v>
      </c>
      <c r="E240" s="10" t="s">
        <v>1373</v>
      </c>
      <c r="F240" s="10" t="s">
        <v>1444</v>
      </c>
      <c r="G240" s="10" t="s">
        <v>1445</v>
      </c>
    </row>
    <row r="241" spans="1:7" ht="43.2" x14ac:dyDescent="0.3">
      <c r="A241" s="10">
        <v>240</v>
      </c>
      <c r="B241" s="10" t="s">
        <v>1379</v>
      </c>
      <c r="C241" s="10" t="s">
        <v>642</v>
      </c>
      <c r="D241" s="10" t="s">
        <v>1446</v>
      </c>
      <c r="E241" s="10" t="s">
        <v>1373</v>
      </c>
      <c r="F241" s="10" t="s">
        <v>1447</v>
      </c>
      <c r="G241" s="10" t="s">
        <v>1448</v>
      </c>
    </row>
    <row r="242" spans="1:7" ht="28.8" x14ac:dyDescent="0.3">
      <c r="A242" s="10">
        <v>241</v>
      </c>
      <c r="B242" s="10" t="s">
        <v>1379</v>
      </c>
      <c r="C242" s="10" t="s">
        <v>644</v>
      </c>
      <c r="D242" s="10" t="s">
        <v>1449</v>
      </c>
      <c r="E242" s="10" t="s">
        <v>1373</v>
      </c>
      <c r="F242" s="10" t="s">
        <v>1450</v>
      </c>
      <c r="G242" s="10" t="s">
        <v>1451</v>
      </c>
    </row>
    <row r="243" spans="1:7" ht="28.8" x14ac:dyDescent="0.3">
      <c r="A243" s="10">
        <v>242</v>
      </c>
      <c r="B243" s="10" t="s">
        <v>1379</v>
      </c>
      <c r="C243" s="10" t="s">
        <v>646</v>
      </c>
      <c r="D243" s="10" t="s">
        <v>1452</v>
      </c>
      <c r="E243" s="10" t="s">
        <v>1373</v>
      </c>
      <c r="F243" s="10" t="s">
        <v>1453</v>
      </c>
      <c r="G243" s="10" t="s">
        <v>1454</v>
      </c>
    </row>
    <row r="244" spans="1:7" ht="28.8" x14ac:dyDescent="0.3">
      <c r="A244" s="10">
        <v>243</v>
      </c>
      <c r="B244" s="10" t="s">
        <v>1379</v>
      </c>
      <c r="C244" s="10" t="s">
        <v>648</v>
      </c>
      <c r="D244" s="10" t="s">
        <v>1455</v>
      </c>
      <c r="E244" s="10" t="s">
        <v>1373</v>
      </c>
      <c r="F244" s="10" t="s">
        <v>1456</v>
      </c>
      <c r="G244" s="10" t="s">
        <v>1457</v>
      </c>
    </row>
    <row r="245" spans="1:7" ht="43.2" x14ac:dyDescent="0.3">
      <c r="A245" s="10">
        <v>244</v>
      </c>
      <c r="B245" s="10" t="s">
        <v>1379</v>
      </c>
      <c r="C245" s="10" t="s">
        <v>650</v>
      </c>
      <c r="D245" s="10" t="s">
        <v>1458</v>
      </c>
      <c r="E245" s="10" t="s">
        <v>1373</v>
      </c>
      <c r="F245" s="10" t="s">
        <v>1459</v>
      </c>
      <c r="G245" s="10" t="s">
        <v>1460</v>
      </c>
    </row>
    <row r="246" spans="1:7" ht="28.8" x14ac:dyDescent="0.3">
      <c r="A246" s="10">
        <v>245</v>
      </c>
      <c r="B246" s="10" t="s">
        <v>1379</v>
      </c>
      <c r="C246" s="10" t="s">
        <v>652</v>
      </c>
      <c r="D246" s="10" t="s">
        <v>1461</v>
      </c>
      <c r="E246" s="10" t="s">
        <v>1373</v>
      </c>
      <c r="F246" s="10" t="s">
        <v>1462</v>
      </c>
      <c r="G246" s="10" t="s">
        <v>1463</v>
      </c>
    </row>
    <row r="247" spans="1:7" ht="28.8" x14ac:dyDescent="0.3">
      <c r="A247" s="10">
        <v>246</v>
      </c>
      <c r="B247" s="10" t="s">
        <v>1379</v>
      </c>
      <c r="C247" s="10" t="s">
        <v>654</v>
      </c>
      <c r="D247" s="10" t="s">
        <v>1464</v>
      </c>
      <c r="E247" s="10" t="s">
        <v>1373</v>
      </c>
      <c r="F247" s="10" t="s">
        <v>1465</v>
      </c>
      <c r="G247" s="10" t="s">
        <v>1466</v>
      </c>
    </row>
    <row r="248" spans="1:7" ht="28.8" x14ac:dyDescent="0.3">
      <c r="A248" s="10">
        <v>247</v>
      </c>
      <c r="B248" s="10" t="s">
        <v>1379</v>
      </c>
      <c r="C248" s="10" t="s">
        <v>656</v>
      </c>
      <c r="D248" s="10" t="s">
        <v>1467</v>
      </c>
      <c r="E248" s="10" t="s">
        <v>1373</v>
      </c>
      <c r="F248" s="10" t="s">
        <v>1468</v>
      </c>
      <c r="G248" s="10" t="s">
        <v>1469</v>
      </c>
    </row>
    <row r="249" spans="1:7" ht="28.8" x14ac:dyDescent="0.3">
      <c r="A249" s="10">
        <v>248</v>
      </c>
      <c r="B249" s="10" t="s">
        <v>1379</v>
      </c>
      <c r="C249" s="10" t="s">
        <v>658</v>
      </c>
      <c r="D249" s="10" t="s">
        <v>1470</v>
      </c>
      <c r="E249" s="10" t="s">
        <v>1373</v>
      </c>
      <c r="F249" s="10" t="s">
        <v>1471</v>
      </c>
      <c r="G249" s="10" t="s">
        <v>1472</v>
      </c>
    </row>
    <row r="250" spans="1:7" ht="28.8" x14ac:dyDescent="0.3">
      <c r="A250" s="10">
        <v>249</v>
      </c>
      <c r="B250" s="10" t="s">
        <v>1379</v>
      </c>
      <c r="C250" s="10" t="s">
        <v>660</v>
      </c>
      <c r="D250" s="10" t="s">
        <v>1473</v>
      </c>
      <c r="E250" s="10" t="s">
        <v>1373</v>
      </c>
      <c r="F250" s="10" t="s">
        <v>1474</v>
      </c>
      <c r="G250" s="10" t="s">
        <v>1475</v>
      </c>
    </row>
    <row r="251" spans="1:7" ht="28.8" x14ac:dyDescent="0.3">
      <c r="A251" s="10">
        <v>250</v>
      </c>
      <c r="B251" s="10" t="s">
        <v>1379</v>
      </c>
      <c r="C251" s="10" t="s">
        <v>662</v>
      </c>
      <c r="D251" s="10" t="s">
        <v>1476</v>
      </c>
      <c r="E251" s="10" t="s">
        <v>1373</v>
      </c>
      <c r="F251" s="10" t="s">
        <v>1477</v>
      </c>
      <c r="G251" s="10" t="s">
        <v>1478</v>
      </c>
    </row>
    <row r="252" spans="1:7" ht="28.8" x14ac:dyDescent="0.3">
      <c r="A252" s="10">
        <v>251</v>
      </c>
      <c r="B252" s="10" t="s">
        <v>1379</v>
      </c>
      <c r="C252" s="10" t="s">
        <v>664</v>
      </c>
      <c r="D252" s="10" t="s">
        <v>1479</v>
      </c>
      <c r="E252" s="10" t="s">
        <v>1373</v>
      </c>
      <c r="F252" s="10" t="s">
        <v>1480</v>
      </c>
      <c r="G252" s="10" t="s">
        <v>1481</v>
      </c>
    </row>
    <row r="253" spans="1:7" ht="28.8" x14ac:dyDescent="0.3">
      <c r="A253" s="10">
        <v>252</v>
      </c>
      <c r="B253" s="10" t="s">
        <v>1379</v>
      </c>
      <c r="C253" s="10" t="s">
        <v>666</v>
      </c>
      <c r="D253" s="10" t="s">
        <v>1482</v>
      </c>
      <c r="E253" s="10" t="s">
        <v>1373</v>
      </c>
      <c r="F253" s="10" t="s">
        <v>1483</v>
      </c>
      <c r="G253" s="10" t="s">
        <v>1484</v>
      </c>
    </row>
    <row r="254" spans="1:7" ht="28.8" x14ac:dyDescent="0.3">
      <c r="A254" s="10">
        <v>253</v>
      </c>
      <c r="B254" s="10" t="s">
        <v>1379</v>
      </c>
      <c r="C254" s="10" t="s">
        <v>668</v>
      </c>
      <c r="D254" s="10" t="s">
        <v>1485</v>
      </c>
      <c r="E254" s="10" t="s">
        <v>1373</v>
      </c>
      <c r="F254" s="10" t="s">
        <v>1486</v>
      </c>
      <c r="G254" s="10" t="s">
        <v>1487</v>
      </c>
    </row>
    <row r="255" spans="1:7" ht="28.8" x14ac:dyDescent="0.3">
      <c r="A255" s="10">
        <v>254</v>
      </c>
      <c r="B255" s="10" t="s">
        <v>1379</v>
      </c>
      <c r="C255" s="10" t="s">
        <v>670</v>
      </c>
      <c r="D255" s="10" t="s">
        <v>1488</v>
      </c>
      <c r="E255" s="10" t="s">
        <v>1373</v>
      </c>
      <c r="F255" s="10" t="s">
        <v>1489</v>
      </c>
      <c r="G255" s="10" t="s">
        <v>1490</v>
      </c>
    </row>
    <row r="256" spans="1:7" ht="43.2" x14ac:dyDescent="0.3">
      <c r="A256" s="10">
        <v>255</v>
      </c>
      <c r="B256" s="10" t="s">
        <v>1379</v>
      </c>
      <c r="C256" s="10" t="s">
        <v>672</v>
      </c>
      <c r="D256" s="10" t="s">
        <v>1491</v>
      </c>
      <c r="E256" s="10" t="s">
        <v>1373</v>
      </c>
      <c r="F256" s="10" t="s">
        <v>1492</v>
      </c>
      <c r="G256" s="10" t="s">
        <v>1493</v>
      </c>
    </row>
    <row r="257" spans="1:7" ht="28.8" x14ac:dyDescent="0.3">
      <c r="A257" s="10">
        <v>256</v>
      </c>
      <c r="B257" s="10" t="s">
        <v>1379</v>
      </c>
      <c r="C257" s="10" t="s">
        <v>674</v>
      </c>
      <c r="D257" s="10" t="s">
        <v>1494</v>
      </c>
      <c r="E257" s="10" t="s">
        <v>1373</v>
      </c>
      <c r="F257" s="10" t="s">
        <v>1495</v>
      </c>
      <c r="G257" s="10" t="s">
        <v>1496</v>
      </c>
    </row>
    <row r="258" spans="1:7" ht="28.8" x14ac:dyDescent="0.3">
      <c r="A258" s="10">
        <v>257</v>
      </c>
      <c r="B258" s="10" t="s">
        <v>1497</v>
      </c>
      <c r="C258" s="10" t="s">
        <v>677</v>
      </c>
      <c r="D258" s="10" t="s">
        <v>1498</v>
      </c>
      <c r="E258" s="10" t="s">
        <v>132</v>
      </c>
      <c r="F258" s="10" t="s">
        <v>1499</v>
      </c>
      <c r="G258" s="10" t="s">
        <v>1500</v>
      </c>
    </row>
    <row r="259" spans="1:7" ht="28.8" x14ac:dyDescent="0.3">
      <c r="A259" s="10">
        <v>258</v>
      </c>
      <c r="B259" s="10" t="s">
        <v>1501</v>
      </c>
      <c r="C259" s="10" t="s">
        <v>680</v>
      </c>
      <c r="D259" s="10" t="s">
        <v>1502</v>
      </c>
      <c r="E259" s="10" t="s">
        <v>1503</v>
      </c>
      <c r="F259" s="10" t="s">
        <v>1504</v>
      </c>
      <c r="G259" s="10" t="s">
        <v>1505</v>
      </c>
    </row>
    <row r="260" spans="1:7" ht="28.8" x14ac:dyDescent="0.3">
      <c r="A260" s="10">
        <v>259</v>
      </c>
      <c r="B260" s="10" t="s">
        <v>1501</v>
      </c>
      <c r="C260" s="10" t="s">
        <v>682</v>
      </c>
      <c r="D260" s="10" t="s">
        <v>1506</v>
      </c>
      <c r="E260" s="10" t="s">
        <v>1503</v>
      </c>
      <c r="F260" s="10" t="s">
        <v>1507</v>
      </c>
      <c r="G260" s="10" t="s">
        <v>1508</v>
      </c>
    </row>
    <row r="261" spans="1:7" ht="28.8" x14ac:dyDescent="0.3">
      <c r="A261" s="10">
        <v>260</v>
      </c>
      <c r="B261" s="10" t="s">
        <v>1501</v>
      </c>
      <c r="C261" s="10" t="s">
        <v>684</v>
      </c>
      <c r="D261" s="10" t="s">
        <v>1509</v>
      </c>
      <c r="E261" s="10" t="s">
        <v>1503</v>
      </c>
      <c r="F261" s="10" t="s">
        <v>1510</v>
      </c>
      <c r="G261" s="10" t="s">
        <v>1511</v>
      </c>
    </row>
    <row r="262" spans="1:7" ht="28.8" x14ac:dyDescent="0.3">
      <c r="A262" s="10">
        <v>261</v>
      </c>
      <c r="B262" s="10" t="s">
        <v>1501</v>
      </c>
      <c r="C262" s="10" t="s">
        <v>686</v>
      </c>
      <c r="D262" s="10" t="s">
        <v>1512</v>
      </c>
      <c r="E262" s="10" t="s">
        <v>1503</v>
      </c>
      <c r="F262" s="10" t="s">
        <v>1513</v>
      </c>
      <c r="G262" s="10" t="s">
        <v>1514</v>
      </c>
    </row>
    <row r="263" spans="1:7" ht="28.8" x14ac:dyDescent="0.3">
      <c r="A263" s="10">
        <v>262</v>
      </c>
      <c r="B263" s="10" t="s">
        <v>1501</v>
      </c>
      <c r="C263" s="10" t="s">
        <v>688</v>
      </c>
      <c r="D263" s="10" t="s">
        <v>1515</v>
      </c>
      <c r="E263" s="10" t="s">
        <v>1503</v>
      </c>
      <c r="F263" s="10" t="s">
        <v>1516</v>
      </c>
      <c r="G263" s="10" t="s">
        <v>1517</v>
      </c>
    </row>
    <row r="264" spans="1:7" ht="28.8" x14ac:dyDescent="0.3">
      <c r="A264" s="10">
        <v>263</v>
      </c>
      <c r="B264" s="10" t="s">
        <v>1501</v>
      </c>
      <c r="C264" s="10" t="s">
        <v>690</v>
      </c>
      <c r="D264" s="10" t="s">
        <v>1518</v>
      </c>
      <c r="E264" s="10" t="s">
        <v>1503</v>
      </c>
      <c r="F264" s="10" t="s">
        <v>1519</v>
      </c>
      <c r="G264" s="10" t="s">
        <v>1520</v>
      </c>
    </row>
    <row r="265" spans="1:7" ht="28.8" x14ac:dyDescent="0.3">
      <c r="A265" s="10">
        <v>264</v>
      </c>
      <c r="B265" s="10" t="s">
        <v>1501</v>
      </c>
      <c r="C265" s="10" t="s">
        <v>692</v>
      </c>
      <c r="D265" s="10" t="s">
        <v>1521</v>
      </c>
      <c r="E265" s="10" t="s">
        <v>1503</v>
      </c>
      <c r="F265" s="10" t="s">
        <v>1522</v>
      </c>
      <c r="G265" s="10" t="s">
        <v>1523</v>
      </c>
    </row>
    <row r="266" spans="1:7" ht="28.8" x14ac:dyDescent="0.3">
      <c r="A266" s="10">
        <v>265</v>
      </c>
      <c r="B266" s="10" t="s">
        <v>1501</v>
      </c>
      <c r="C266" s="10" t="s">
        <v>694</v>
      </c>
      <c r="D266" s="10" t="s">
        <v>1503</v>
      </c>
      <c r="E266" s="10" t="s">
        <v>825</v>
      </c>
      <c r="F266" s="10" t="s">
        <v>1524</v>
      </c>
      <c r="G266" s="10" t="s">
        <v>1525</v>
      </c>
    </row>
    <row r="267" spans="1:7" ht="28.8" x14ac:dyDescent="0.3">
      <c r="A267" s="10">
        <v>266</v>
      </c>
      <c r="B267" s="10" t="s">
        <v>1526</v>
      </c>
      <c r="C267" s="10" t="s">
        <v>697</v>
      </c>
      <c r="D267" s="10" t="s">
        <v>1527</v>
      </c>
      <c r="E267" s="10" t="s">
        <v>1528</v>
      </c>
      <c r="F267" s="10" t="s">
        <v>1529</v>
      </c>
      <c r="G267" s="10" t="s">
        <v>1530</v>
      </c>
    </row>
    <row r="268" spans="1:7" ht="28.8" x14ac:dyDescent="0.3">
      <c r="A268" s="10">
        <v>267</v>
      </c>
      <c r="B268" s="10" t="s">
        <v>1526</v>
      </c>
      <c r="C268" s="10" t="s">
        <v>699</v>
      </c>
      <c r="D268" s="10" t="s">
        <v>1531</v>
      </c>
      <c r="E268" s="10" t="s">
        <v>1528</v>
      </c>
      <c r="F268" s="10" t="s">
        <v>1532</v>
      </c>
      <c r="G268" s="10" t="s">
        <v>1533</v>
      </c>
    </row>
    <row r="269" spans="1:7" ht="28.8" x14ac:dyDescent="0.3">
      <c r="A269" s="10">
        <v>268</v>
      </c>
      <c r="B269" s="10" t="s">
        <v>1526</v>
      </c>
      <c r="C269" s="10" t="s">
        <v>701</v>
      </c>
      <c r="D269" s="10" t="s">
        <v>1534</v>
      </c>
      <c r="E269" s="10" t="s">
        <v>1528</v>
      </c>
      <c r="F269" s="10" t="s">
        <v>1535</v>
      </c>
      <c r="G269" s="10" t="s">
        <v>1536</v>
      </c>
    </row>
    <row r="270" spans="1:7" ht="28.8" x14ac:dyDescent="0.3">
      <c r="A270" s="10">
        <v>269</v>
      </c>
      <c r="B270" s="10" t="s">
        <v>1526</v>
      </c>
      <c r="C270" s="10" t="s">
        <v>703</v>
      </c>
      <c r="D270" s="10" t="s">
        <v>1537</v>
      </c>
      <c r="E270" s="10" t="s">
        <v>1528</v>
      </c>
      <c r="F270" s="10" t="s">
        <v>1538</v>
      </c>
      <c r="G270" s="10" t="s">
        <v>1539</v>
      </c>
    </row>
    <row r="271" spans="1:7" ht="28.8" x14ac:dyDescent="0.3">
      <c r="A271" s="10">
        <v>270</v>
      </c>
      <c r="B271" s="10" t="s">
        <v>1526</v>
      </c>
      <c r="C271" s="10" t="s">
        <v>705</v>
      </c>
      <c r="D271" s="10" t="s">
        <v>1540</v>
      </c>
      <c r="E271" s="10" t="s">
        <v>1528</v>
      </c>
      <c r="F271" s="10" t="s">
        <v>1541</v>
      </c>
      <c r="G271" s="10" t="s">
        <v>1542</v>
      </c>
    </row>
    <row r="272" spans="1:7" ht="28.8" x14ac:dyDescent="0.3">
      <c r="A272" s="10">
        <v>271</v>
      </c>
      <c r="B272" s="10" t="s">
        <v>1526</v>
      </c>
      <c r="C272" s="10" t="s">
        <v>707</v>
      </c>
      <c r="D272" s="10" t="s">
        <v>1543</v>
      </c>
      <c r="E272" s="10" t="s">
        <v>1528</v>
      </c>
      <c r="F272" s="10" t="s">
        <v>1544</v>
      </c>
      <c r="G272" s="10" t="s">
        <v>1545</v>
      </c>
    </row>
    <row r="273" spans="1:7" ht="28.8" x14ac:dyDescent="0.3">
      <c r="A273" s="10">
        <v>272</v>
      </c>
      <c r="B273" s="10" t="s">
        <v>1526</v>
      </c>
      <c r="C273" s="10" t="s">
        <v>709</v>
      </c>
      <c r="D273" s="10" t="s">
        <v>1528</v>
      </c>
      <c r="E273" s="10" t="s">
        <v>825</v>
      </c>
      <c r="F273" s="10" t="s">
        <v>1546</v>
      </c>
      <c r="G273" s="10" t="s">
        <v>1547</v>
      </c>
    </row>
    <row r="274" spans="1:7" ht="28.8" x14ac:dyDescent="0.3">
      <c r="A274" s="10">
        <v>273</v>
      </c>
      <c r="B274" s="10" t="s">
        <v>1548</v>
      </c>
      <c r="C274" s="10" t="s">
        <v>712</v>
      </c>
      <c r="D274" s="10" t="s">
        <v>1549</v>
      </c>
      <c r="E274" s="10" t="s">
        <v>132</v>
      </c>
      <c r="F274" s="10" t="s">
        <v>1550</v>
      </c>
      <c r="G274" s="10" t="s">
        <v>1551</v>
      </c>
    </row>
    <row r="275" spans="1:7" ht="28.8" x14ac:dyDescent="0.3">
      <c r="A275" s="10">
        <v>274</v>
      </c>
      <c r="B275" s="10" t="s">
        <v>1548</v>
      </c>
      <c r="C275" s="10" t="s">
        <v>714</v>
      </c>
      <c r="D275" s="10" t="s">
        <v>1552</v>
      </c>
      <c r="E275" s="10" t="s">
        <v>825</v>
      </c>
      <c r="F275" s="10" t="s">
        <v>1553</v>
      </c>
      <c r="G275" s="10" t="s">
        <v>1554</v>
      </c>
    </row>
    <row r="276" spans="1:7" ht="28.8" x14ac:dyDescent="0.3">
      <c r="A276" s="10">
        <v>275</v>
      </c>
      <c r="B276" s="10" t="s">
        <v>1548</v>
      </c>
      <c r="C276" s="10" t="s">
        <v>714</v>
      </c>
      <c r="D276" s="10" t="s">
        <v>1555</v>
      </c>
      <c r="E276" s="10" t="s">
        <v>1552</v>
      </c>
      <c r="F276" s="10" t="s">
        <v>1553</v>
      </c>
      <c r="G276" s="10" t="s">
        <v>1554</v>
      </c>
    </row>
    <row r="277" spans="1:7" ht="28.8" x14ac:dyDescent="0.3">
      <c r="A277" s="10">
        <v>276</v>
      </c>
      <c r="B277" s="10" t="s">
        <v>1548</v>
      </c>
      <c r="C277" s="10" t="s">
        <v>714</v>
      </c>
      <c r="D277" s="10" t="s">
        <v>1556</v>
      </c>
      <c r="E277" s="10" t="s">
        <v>1552</v>
      </c>
      <c r="F277" s="10" t="s">
        <v>1553</v>
      </c>
      <c r="G277" s="10" t="s">
        <v>1554</v>
      </c>
    </row>
    <row r="278" spans="1:7" ht="28.8" x14ac:dyDescent="0.3">
      <c r="A278" s="10">
        <v>277</v>
      </c>
      <c r="B278" s="10" t="s">
        <v>1548</v>
      </c>
      <c r="C278" s="10" t="s">
        <v>714</v>
      </c>
      <c r="D278" s="10" t="s">
        <v>1557</v>
      </c>
      <c r="E278" s="10" t="s">
        <v>1552</v>
      </c>
      <c r="F278" s="10" t="s">
        <v>1553</v>
      </c>
      <c r="G278" s="10" t="s">
        <v>1554</v>
      </c>
    </row>
    <row r="279" spans="1:7" ht="28.8" x14ac:dyDescent="0.3">
      <c r="A279" s="10">
        <v>278</v>
      </c>
      <c r="B279" s="10" t="s">
        <v>1548</v>
      </c>
      <c r="C279" s="10" t="s">
        <v>714</v>
      </c>
      <c r="D279" s="10" t="s">
        <v>1558</v>
      </c>
      <c r="E279" s="10" t="s">
        <v>825</v>
      </c>
      <c r="F279" s="10" t="s">
        <v>1553</v>
      </c>
      <c r="G279" s="10" t="s">
        <v>1554</v>
      </c>
    </row>
    <row r="280" spans="1:7" ht="28.8" x14ac:dyDescent="0.3">
      <c r="A280" s="10">
        <v>279</v>
      </c>
      <c r="B280" s="10" t="s">
        <v>1548</v>
      </c>
      <c r="C280" s="10" t="s">
        <v>714</v>
      </c>
      <c r="D280" s="10" t="s">
        <v>1559</v>
      </c>
      <c r="E280" s="10" t="s">
        <v>132</v>
      </c>
      <c r="F280" s="10" t="s">
        <v>1553</v>
      </c>
      <c r="G280" s="10" t="s">
        <v>1554</v>
      </c>
    </row>
    <row r="281" spans="1:7" ht="28.8" x14ac:dyDescent="0.3">
      <c r="A281" s="10">
        <v>280</v>
      </c>
      <c r="B281" s="10" t="s">
        <v>1548</v>
      </c>
      <c r="C281" s="10" t="s">
        <v>716</v>
      </c>
      <c r="D281" s="10" t="s">
        <v>1560</v>
      </c>
      <c r="E281" s="10" t="s">
        <v>825</v>
      </c>
      <c r="F281" s="10" t="s">
        <v>1561</v>
      </c>
      <c r="G281" s="10" t="s">
        <v>1562</v>
      </c>
    </row>
    <row r="282" spans="1:7" ht="28.8" x14ac:dyDescent="0.3">
      <c r="A282" s="10">
        <v>281</v>
      </c>
      <c r="B282" s="10" t="s">
        <v>1563</v>
      </c>
      <c r="C282" s="10" t="s">
        <v>719</v>
      </c>
      <c r="D282" s="10" t="s">
        <v>1564</v>
      </c>
      <c r="E282" s="10" t="s">
        <v>132</v>
      </c>
      <c r="F282" s="10" t="s">
        <v>1565</v>
      </c>
      <c r="G282" s="10" t="s">
        <v>1566</v>
      </c>
    </row>
    <row r="283" spans="1:7" ht="28.8" x14ac:dyDescent="0.3">
      <c r="A283" s="10">
        <v>282</v>
      </c>
      <c r="B283" s="10" t="s">
        <v>1563</v>
      </c>
      <c r="C283" s="10" t="s">
        <v>721</v>
      </c>
      <c r="D283" s="10" t="s">
        <v>1552</v>
      </c>
      <c r="E283" s="10" t="s">
        <v>131</v>
      </c>
      <c r="F283" s="10" t="s">
        <v>1567</v>
      </c>
      <c r="G283" s="10" t="s">
        <v>1568</v>
      </c>
    </row>
    <row r="284" spans="1:7" ht="43.2" x14ac:dyDescent="0.3">
      <c r="A284" s="10">
        <v>283</v>
      </c>
      <c r="B284" s="10" t="s">
        <v>1563</v>
      </c>
      <c r="C284" s="10" t="s">
        <v>723</v>
      </c>
      <c r="D284" s="10" t="s">
        <v>1569</v>
      </c>
      <c r="E284" s="10" t="s">
        <v>1564</v>
      </c>
      <c r="F284" s="10" t="s">
        <v>1570</v>
      </c>
      <c r="G284" s="10" t="s">
        <v>1571</v>
      </c>
    </row>
    <row r="285" spans="1:7" ht="43.2" x14ac:dyDescent="0.3">
      <c r="A285" s="10">
        <v>284</v>
      </c>
      <c r="B285" s="10" t="s">
        <v>1563</v>
      </c>
      <c r="C285" s="10" t="s">
        <v>725</v>
      </c>
      <c r="D285" s="10" t="s">
        <v>1572</v>
      </c>
      <c r="E285" s="10" t="s">
        <v>1564</v>
      </c>
      <c r="F285" s="10" t="s">
        <v>1573</v>
      </c>
      <c r="G285" s="10" t="s">
        <v>1574</v>
      </c>
    </row>
    <row r="286" spans="1:7" ht="28.8" x14ac:dyDescent="0.3">
      <c r="A286" s="10">
        <v>285</v>
      </c>
      <c r="B286" s="10" t="s">
        <v>1563</v>
      </c>
      <c r="C286" s="10" t="s">
        <v>727</v>
      </c>
      <c r="D286" s="10" t="s">
        <v>1575</v>
      </c>
      <c r="E286" s="10" t="s">
        <v>1564</v>
      </c>
      <c r="F286" s="10" t="s">
        <v>1576</v>
      </c>
      <c r="G286" s="10" t="s">
        <v>1577</v>
      </c>
    </row>
    <row r="287" spans="1:7" ht="43.2" x14ac:dyDescent="0.3">
      <c r="A287" s="10">
        <v>286</v>
      </c>
      <c r="B287" s="10" t="s">
        <v>1563</v>
      </c>
      <c r="C287" s="10" t="s">
        <v>729</v>
      </c>
      <c r="D287" s="10" t="s">
        <v>1558</v>
      </c>
      <c r="E287" s="10" t="s">
        <v>131</v>
      </c>
      <c r="F287" s="10" t="s">
        <v>1578</v>
      </c>
      <c r="G287" s="10" t="s">
        <v>1579</v>
      </c>
    </row>
    <row r="288" spans="1:7" ht="28.8" x14ac:dyDescent="0.3">
      <c r="A288" s="10">
        <v>287</v>
      </c>
      <c r="B288" s="10" t="s">
        <v>1580</v>
      </c>
      <c r="C288" s="10" t="s">
        <v>732</v>
      </c>
      <c r="D288" s="10" t="s">
        <v>1581</v>
      </c>
      <c r="E288" s="10" t="s">
        <v>825</v>
      </c>
      <c r="F288" s="10" t="s">
        <v>1582</v>
      </c>
      <c r="G288" s="10" t="s">
        <v>1583</v>
      </c>
    </row>
    <row r="289" spans="1:7" ht="28.8" x14ac:dyDescent="0.3">
      <c r="A289" s="10">
        <v>288</v>
      </c>
      <c r="B289" s="10" t="s">
        <v>1580</v>
      </c>
      <c r="C289" s="10" t="s">
        <v>734</v>
      </c>
      <c r="D289" s="10" t="s">
        <v>1584</v>
      </c>
      <c r="E289" s="10" t="s">
        <v>1581</v>
      </c>
      <c r="F289" s="10" t="s">
        <v>1585</v>
      </c>
      <c r="G289" s="10" t="s">
        <v>1586</v>
      </c>
    </row>
    <row r="290" spans="1:7" ht="28.8" x14ac:dyDescent="0.3">
      <c r="A290" s="10">
        <v>289</v>
      </c>
      <c r="B290" s="10" t="s">
        <v>1580</v>
      </c>
      <c r="C290" s="10" t="s">
        <v>736</v>
      </c>
      <c r="D290" s="10" t="s">
        <v>1587</v>
      </c>
      <c r="E290" s="10" t="s">
        <v>1581</v>
      </c>
      <c r="F290" s="10" t="s">
        <v>1588</v>
      </c>
      <c r="G290" s="10" t="s">
        <v>1589</v>
      </c>
    </row>
    <row r="291" spans="1:7" ht="28.8" x14ac:dyDescent="0.3">
      <c r="A291" s="10">
        <v>290</v>
      </c>
      <c r="B291" s="10" t="s">
        <v>1580</v>
      </c>
      <c r="C291" s="10" t="s">
        <v>738</v>
      </c>
      <c r="D291" s="10" t="s">
        <v>1590</v>
      </c>
      <c r="E291" s="10" t="s">
        <v>1581</v>
      </c>
      <c r="F291" s="10" t="s">
        <v>1591</v>
      </c>
      <c r="G291" s="10" t="s">
        <v>1592</v>
      </c>
    </row>
    <row r="292" spans="1:7" ht="28.8" x14ac:dyDescent="0.3">
      <c r="A292" s="10">
        <v>291</v>
      </c>
      <c r="B292" s="10" t="s">
        <v>1580</v>
      </c>
      <c r="C292" s="10" t="s">
        <v>740</v>
      </c>
      <c r="D292" s="10" t="s">
        <v>1593</v>
      </c>
      <c r="E292" s="10" t="s">
        <v>1581</v>
      </c>
      <c r="F292" s="10" t="s">
        <v>1594</v>
      </c>
      <c r="G292" s="10" t="s">
        <v>1595</v>
      </c>
    </row>
    <row r="293" spans="1:7" ht="28.8" x14ac:dyDescent="0.3">
      <c r="A293" s="10">
        <v>292</v>
      </c>
      <c r="B293" s="10" t="s">
        <v>1580</v>
      </c>
      <c r="C293" s="10" t="s">
        <v>742</v>
      </c>
      <c r="D293" s="10" t="s">
        <v>1596</v>
      </c>
      <c r="E293" s="10" t="s">
        <v>1581</v>
      </c>
      <c r="F293" s="10" t="s">
        <v>1597</v>
      </c>
      <c r="G293" s="10" t="s">
        <v>1598</v>
      </c>
    </row>
    <row r="294" spans="1:7" ht="28.8" x14ac:dyDescent="0.3">
      <c r="A294" s="10">
        <v>293</v>
      </c>
      <c r="B294" s="10" t="s">
        <v>1580</v>
      </c>
      <c r="C294" s="10" t="s">
        <v>744</v>
      </c>
      <c r="D294" s="10" t="s">
        <v>1599</v>
      </c>
      <c r="E294" s="10" t="s">
        <v>1581</v>
      </c>
      <c r="F294" s="10" t="s">
        <v>1600</v>
      </c>
      <c r="G294" s="10" t="s">
        <v>1601</v>
      </c>
    </row>
    <row r="295" spans="1:7" ht="28.8" x14ac:dyDescent="0.3">
      <c r="A295" s="10">
        <v>294</v>
      </c>
      <c r="B295" s="10" t="s">
        <v>1580</v>
      </c>
      <c r="C295" s="10" t="s">
        <v>746</v>
      </c>
      <c r="D295" s="10" t="s">
        <v>1602</v>
      </c>
      <c r="E295" s="10" t="s">
        <v>1581</v>
      </c>
      <c r="F295" s="10" t="s">
        <v>1603</v>
      </c>
      <c r="G295" s="10" t="s">
        <v>1604</v>
      </c>
    </row>
    <row r="296" spans="1:7" ht="28.8" x14ac:dyDescent="0.3">
      <c r="A296" s="10">
        <v>295</v>
      </c>
      <c r="B296" s="10" t="s">
        <v>1580</v>
      </c>
      <c r="C296" s="10" t="s">
        <v>748</v>
      </c>
      <c r="D296" s="10" t="s">
        <v>1605</v>
      </c>
      <c r="E296" s="10" t="s">
        <v>1581</v>
      </c>
      <c r="F296" s="10" t="s">
        <v>1606</v>
      </c>
      <c r="G296" s="10" t="s">
        <v>1607</v>
      </c>
    </row>
    <row r="297" spans="1:7" ht="28.8" x14ac:dyDescent="0.3">
      <c r="A297" s="10">
        <v>296</v>
      </c>
      <c r="B297" s="10" t="s">
        <v>1580</v>
      </c>
      <c r="C297" s="10" t="s">
        <v>750</v>
      </c>
      <c r="D297" s="10" t="s">
        <v>1608</v>
      </c>
      <c r="E297" s="10" t="s">
        <v>1581</v>
      </c>
      <c r="F297" s="10" t="s">
        <v>1609</v>
      </c>
      <c r="G297" s="10" t="s">
        <v>1610</v>
      </c>
    </row>
    <row r="298" spans="1:7" ht="28.8" x14ac:dyDescent="0.3">
      <c r="A298" s="10">
        <v>297</v>
      </c>
      <c r="B298" s="10" t="s">
        <v>1580</v>
      </c>
      <c r="C298" s="10" t="s">
        <v>752</v>
      </c>
      <c r="D298" s="10" t="s">
        <v>1611</v>
      </c>
      <c r="E298" s="10" t="s">
        <v>1581</v>
      </c>
      <c r="F298" s="10" t="s">
        <v>1612</v>
      </c>
      <c r="G298" s="10" t="s">
        <v>1613</v>
      </c>
    </row>
    <row r="299" spans="1:7" ht="28.8" x14ac:dyDescent="0.3">
      <c r="A299" s="10">
        <v>298</v>
      </c>
      <c r="B299" s="10" t="s">
        <v>1580</v>
      </c>
      <c r="C299" s="10" t="s">
        <v>754</v>
      </c>
      <c r="D299" s="10" t="s">
        <v>1614</v>
      </c>
      <c r="E299" s="10" t="s">
        <v>1581</v>
      </c>
      <c r="F299" s="10" t="s">
        <v>1615</v>
      </c>
      <c r="G299" s="10" t="s">
        <v>1616</v>
      </c>
    </row>
    <row r="300" spans="1:7" ht="28.8" x14ac:dyDescent="0.3">
      <c r="A300" s="10">
        <v>299</v>
      </c>
      <c r="B300" s="10" t="s">
        <v>1580</v>
      </c>
      <c r="C300" s="10" t="s">
        <v>756</v>
      </c>
      <c r="D300" s="10" t="s">
        <v>1617</v>
      </c>
      <c r="E300" s="10" t="s">
        <v>1581</v>
      </c>
      <c r="F300" s="10" t="s">
        <v>1618</v>
      </c>
      <c r="G300" s="10" t="s">
        <v>1619</v>
      </c>
    </row>
    <row r="301" spans="1:7" ht="28.8" x14ac:dyDescent="0.3">
      <c r="A301" s="10">
        <v>300</v>
      </c>
      <c r="B301" s="10" t="s">
        <v>1580</v>
      </c>
      <c r="C301" s="10" t="s">
        <v>758</v>
      </c>
      <c r="D301" s="10" t="s">
        <v>1620</v>
      </c>
      <c r="E301" s="10" t="s">
        <v>1581</v>
      </c>
      <c r="F301" s="10" t="s">
        <v>1621</v>
      </c>
      <c r="G301" s="10" t="s">
        <v>1622</v>
      </c>
    </row>
    <row r="302" spans="1:7" ht="28.8" x14ac:dyDescent="0.3">
      <c r="A302" s="10">
        <v>301</v>
      </c>
      <c r="B302" s="10" t="s">
        <v>1580</v>
      </c>
      <c r="C302" s="10" t="s">
        <v>760</v>
      </c>
      <c r="D302" s="10" t="s">
        <v>1623</v>
      </c>
      <c r="E302" s="10" t="s">
        <v>1581</v>
      </c>
      <c r="F302" s="10" t="s">
        <v>1624</v>
      </c>
      <c r="G302" s="10" t="s">
        <v>1625</v>
      </c>
    </row>
    <row r="303" spans="1:7" ht="28.8" x14ac:dyDescent="0.3">
      <c r="A303" s="10">
        <v>302</v>
      </c>
      <c r="B303" s="10" t="s">
        <v>1580</v>
      </c>
      <c r="C303" s="10" t="s">
        <v>762</v>
      </c>
      <c r="D303" s="10" t="s">
        <v>1626</v>
      </c>
      <c r="E303" s="10" t="s">
        <v>1581</v>
      </c>
      <c r="F303" s="10" t="s">
        <v>1627</v>
      </c>
      <c r="G303" s="10" t="s">
        <v>1628</v>
      </c>
    </row>
    <row r="304" spans="1:7" ht="28.8" x14ac:dyDescent="0.3">
      <c r="A304" s="10">
        <v>303</v>
      </c>
      <c r="B304" s="10" t="s">
        <v>1580</v>
      </c>
      <c r="C304" s="10" t="s">
        <v>764</v>
      </c>
      <c r="D304" s="10" t="s">
        <v>1629</v>
      </c>
      <c r="E304" s="10" t="s">
        <v>1581</v>
      </c>
      <c r="F304" s="10" t="s">
        <v>1630</v>
      </c>
      <c r="G304" s="10" t="s">
        <v>1631</v>
      </c>
    </row>
    <row r="305" spans="1:7" ht="28.8" x14ac:dyDescent="0.3">
      <c r="A305" s="10">
        <v>304</v>
      </c>
      <c r="B305" s="10" t="s">
        <v>1580</v>
      </c>
      <c r="C305" s="10" t="s">
        <v>766</v>
      </c>
      <c r="D305" s="10" t="s">
        <v>1632</v>
      </c>
      <c r="E305" s="10" t="s">
        <v>1581</v>
      </c>
      <c r="F305" s="10" t="s">
        <v>1633</v>
      </c>
      <c r="G305" s="10" t="s">
        <v>1634</v>
      </c>
    </row>
    <row r="306" spans="1:7" ht="28.8" x14ac:dyDescent="0.3">
      <c r="A306" s="10">
        <v>305</v>
      </c>
      <c r="B306" s="10" t="s">
        <v>1580</v>
      </c>
      <c r="C306" s="10" t="s">
        <v>768</v>
      </c>
      <c r="D306" s="10" t="s">
        <v>1635</v>
      </c>
      <c r="E306" s="10" t="s">
        <v>1581</v>
      </c>
      <c r="F306" s="10" t="s">
        <v>1636</v>
      </c>
      <c r="G306" s="10" t="s">
        <v>1637</v>
      </c>
    </row>
    <row r="307" spans="1:7" ht="28.8" x14ac:dyDescent="0.3">
      <c r="A307" s="10">
        <v>306</v>
      </c>
      <c r="B307" s="10" t="s">
        <v>1580</v>
      </c>
      <c r="C307" s="10" t="s">
        <v>770</v>
      </c>
      <c r="D307" s="10" t="s">
        <v>1638</v>
      </c>
      <c r="E307" s="10" t="s">
        <v>1581</v>
      </c>
      <c r="F307" s="10" t="s">
        <v>1639</v>
      </c>
      <c r="G307" s="10" t="s">
        <v>1640</v>
      </c>
    </row>
    <row r="308" spans="1:7" ht="28.8" x14ac:dyDescent="0.3">
      <c r="A308" s="10">
        <v>307</v>
      </c>
      <c r="B308" s="10" t="s">
        <v>1641</v>
      </c>
      <c r="C308" s="10" t="s">
        <v>773</v>
      </c>
      <c r="D308" s="10" t="s">
        <v>1642</v>
      </c>
      <c r="E308" s="10" t="s">
        <v>132</v>
      </c>
      <c r="F308" s="10" t="s">
        <v>1643</v>
      </c>
      <c r="G308" s="10" t="s">
        <v>1644</v>
      </c>
    </row>
    <row r="309" spans="1:7" ht="28.8" x14ac:dyDescent="0.3">
      <c r="A309" s="10">
        <v>308</v>
      </c>
      <c r="B309" s="10" t="s">
        <v>1641</v>
      </c>
      <c r="C309" s="10" t="s">
        <v>775</v>
      </c>
      <c r="D309" s="10" t="s">
        <v>1645</v>
      </c>
      <c r="E309" s="10" t="s">
        <v>132</v>
      </c>
      <c r="F309" s="10" t="s">
        <v>1646</v>
      </c>
      <c r="G309" s="10" t="s">
        <v>1647</v>
      </c>
    </row>
    <row r="310" spans="1:7" ht="28.8" x14ac:dyDescent="0.3">
      <c r="A310" s="10">
        <v>309</v>
      </c>
      <c r="B310" s="10" t="s">
        <v>1641</v>
      </c>
      <c r="C310" s="10" t="s">
        <v>777</v>
      </c>
      <c r="D310" s="10" t="s">
        <v>1648</v>
      </c>
      <c r="E310" s="10" t="s">
        <v>132</v>
      </c>
      <c r="F310" s="10" t="s">
        <v>1649</v>
      </c>
      <c r="G310" s="10" t="s">
        <v>1650</v>
      </c>
    </row>
    <row r="311" spans="1:7" ht="28.8" x14ac:dyDescent="0.3">
      <c r="A311" s="10">
        <v>310</v>
      </c>
      <c r="B311" s="10" t="s">
        <v>1651</v>
      </c>
      <c r="C311" s="10" t="s">
        <v>780</v>
      </c>
      <c r="D311" s="10" t="s">
        <v>1652</v>
      </c>
      <c r="E311" s="10" t="s">
        <v>825</v>
      </c>
      <c r="F311" s="10" t="s">
        <v>1653</v>
      </c>
      <c r="G311" s="10" t="s">
        <v>1654</v>
      </c>
    </row>
    <row r="312" spans="1:7" ht="28.8" x14ac:dyDescent="0.3">
      <c r="A312" s="10">
        <v>311</v>
      </c>
      <c r="B312" s="10" t="s">
        <v>1655</v>
      </c>
      <c r="C312" s="10" t="s">
        <v>783</v>
      </c>
      <c r="D312" s="10" t="s">
        <v>1656</v>
      </c>
      <c r="F312" s="10" t="s">
        <v>1657</v>
      </c>
      <c r="G312" s="10" t="s">
        <v>1658</v>
      </c>
    </row>
    <row r="313" spans="1:7" ht="28.8" x14ac:dyDescent="0.3">
      <c r="A313" s="10">
        <v>312</v>
      </c>
      <c r="B313" s="10" t="s">
        <v>1655</v>
      </c>
      <c r="C313" s="10" t="s">
        <v>122</v>
      </c>
      <c r="F313" s="10" t="s">
        <v>1659</v>
      </c>
      <c r="G313" s="10" t="s">
        <v>1660</v>
      </c>
    </row>
    <row r="314" spans="1:7" ht="28.8" x14ac:dyDescent="0.3">
      <c r="A314" s="10">
        <v>313</v>
      </c>
      <c r="B314" s="10" t="s">
        <v>1655</v>
      </c>
      <c r="C314" s="10" t="s">
        <v>786</v>
      </c>
      <c r="D314" s="10" t="s">
        <v>1661</v>
      </c>
      <c r="F314" s="10" t="s">
        <v>1662</v>
      </c>
      <c r="G314" s="10" t="s">
        <v>1663</v>
      </c>
    </row>
    <row r="315" spans="1:7" ht="28.8" x14ac:dyDescent="0.3">
      <c r="A315" s="10">
        <v>314</v>
      </c>
      <c r="B315" s="10" t="s">
        <v>1655</v>
      </c>
      <c r="C315" s="10" t="s">
        <v>788</v>
      </c>
      <c r="D315" s="10" t="s">
        <v>1664</v>
      </c>
      <c r="F315" s="10" t="s">
        <v>1665</v>
      </c>
      <c r="G315" s="10" t="s">
        <v>1666</v>
      </c>
    </row>
    <row r="316" spans="1:7" ht="28.8" x14ac:dyDescent="0.3">
      <c r="A316" s="10">
        <v>315</v>
      </c>
      <c r="B316" s="10" t="s">
        <v>1655</v>
      </c>
      <c r="C316" s="10" t="s">
        <v>790</v>
      </c>
      <c r="D316" s="10" t="s">
        <v>1667</v>
      </c>
      <c r="F316" s="10" t="s">
        <v>1668</v>
      </c>
      <c r="G316" s="10" t="s">
        <v>1669</v>
      </c>
    </row>
    <row r="317" spans="1:7" ht="28.8" x14ac:dyDescent="0.3">
      <c r="A317" s="10">
        <v>316</v>
      </c>
      <c r="B317" s="10" t="s">
        <v>1655</v>
      </c>
      <c r="C317" s="10" t="s">
        <v>792</v>
      </c>
      <c r="D317" s="10" t="s">
        <v>1670</v>
      </c>
      <c r="E317" s="10" t="s">
        <v>132</v>
      </c>
      <c r="F317" s="10" t="s">
        <v>1671</v>
      </c>
      <c r="G317" s="10" t="s">
        <v>1672</v>
      </c>
    </row>
    <row r="318" spans="1:7" ht="28.8" x14ac:dyDescent="0.3">
      <c r="A318" s="10">
        <v>317</v>
      </c>
      <c r="B318" s="10" t="s">
        <v>1655</v>
      </c>
      <c r="C318" s="10" t="s">
        <v>794</v>
      </c>
      <c r="D318" s="10" t="s">
        <v>1673</v>
      </c>
      <c r="F318" s="10" t="s">
        <v>1674</v>
      </c>
      <c r="G318" s="10" t="s">
        <v>1675</v>
      </c>
    </row>
    <row r="319" spans="1:7" ht="28.8" x14ac:dyDescent="0.3">
      <c r="A319" s="10">
        <v>318</v>
      </c>
      <c r="B319" s="10" t="s">
        <v>1655</v>
      </c>
      <c r="C319" s="10" t="s">
        <v>796</v>
      </c>
      <c r="D319" s="10" t="s">
        <v>1676</v>
      </c>
      <c r="E319" s="10" t="s">
        <v>131</v>
      </c>
      <c r="F319" s="10" t="s">
        <v>1677</v>
      </c>
      <c r="G319" s="10" t="s">
        <v>1678</v>
      </c>
    </row>
    <row r="320" spans="1:7" ht="28.8" x14ac:dyDescent="0.3">
      <c r="A320" s="10">
        <v>319</v>
      </c>
      <c r="B320" s="10" t="s">
        <v>1655</v>
      </c>
      <c r="C320" s="10" t="s">
        <v>796</v>
      </c>
      <c r="D320" s="10" t="s">
        <v>1679</v>
      </c>
      <c r="E320" s="10" t="s">
        <v>1676</v>
      </c>
      <c r="F320" s="10" t="s">
        <v>1677</v>
      </c>
      <c r="G320" s="10" t="s">
        <v>1678</v>
      </c>
    </row>
    <row r="321" spans="1:7" ht="28.8" x14ac:dyDescent="0.3">
      <c r="A321" s="10">
        <v>320</v>
      </c>
      <c r="B321" s="10" t="s">
        <v>1655</v>
      </c>
      <c r="C321" s="10" t="s">
        <v>796</v>
      </c>
      <c r="D321" s="10" t="s">
        <v>1680</v>
      </c>
      <c r="F321" s="10" t="s">
        <v>1677</v>
      </c>
      <c r="G321" s="10" t="s">
        <v>1678</v>
      </c>
    </row>
    <row r="322" spans="1:7" ht="28.8" x14ac:dyDescent="0.3">
      <c r="A322" s="10">
        <v>321</v>
      </c>
      <c r="B322" s="10" t="s">
        <v>1655</v>
      </c>
      <c r="C322" s="10" t="s">
        <v>796</v>
      </c>
      <c r="D322" s="10" t="s">
        <v>1681</v>
      </c>
      <c r="E322" s="10" t="s">
        <v>131</v>
      </c>
      <c r="F322" s="10" t="s">
        <v>1677</v>
      </c>
      <c r="G322" s="10" t="s">
        <v>1678</v>
      </c>
    </row>
    <row r="323" spans="1:7" ht="28.8" x14ac:dyDescent="0.3">
      <c r="A323" s="10">
        <v>322</v>
      </c>
      <c r="B323" s="10" t="s">
        <v>1655</v>
      </c>
      <c r="C323" s="10" t="s">
        <v>798</v>
      </c>
      <c r="D323" s="10" t="s">
        <v>1682</v>
      </c>
      <c r="F323" s="10" t="s">
        <v>1683</v>
      </c>
      <c r="G323" s="10" t="s">
        <v>1684</v>
      </c>
    </row>
    <row r="324" spans="1:7" ht="28.8" x14ac:dyDescent="0.3">
      <c r="A324" s="10">
        <v>323</v>
      </c>
      <c r="B324" s="10" t="s">
        <v>1655</v>
      </c>
      <c r="C324" s="10" t="s">
        <v>800</v>
      </c>
      <c r="D324" s="10" t="s">
        <v>1685</v>
      </c>
      <c r="E324" s="10" t="s">
        <v>131</v>
      </c>
      <c r="F324" s="10" t="s">
        <v>1686</v>
      </c>
      <c r="G324" s="10" t="s">
        <v>1687</v>
      </c>
    </row>
    <row r="325" spans="1:7" ht="28.8" x14ac:dyDescent="0.3">
      <c r="A325" s="10">
        <v>324</v>
      </c>
      <c r="B325" s="10" t="s">
        <v>1655</v>
      </c>
      <c r="C325" s="10" t="s">
        <v>802</v>
      </c>
      <c r="D325" s="10" t="s">
        <v>1688</v>
      </c>
      <c r="E325" s="10" t="s">
        <v>131</v>
      </c>
      <c r="F325" s="10" t="s">
        <v>1689</v>
      </c>
      <c r="G325" s="10" t="s">
        <v>1690</v>
      </c>
    </row>
    <row r="326" spans="1:7" ht="28.8" x14ac:dyDescent="0.3">
      <c r="A326" s="10">
        <v>325</v>
      </c>
      <c r="B326" s="10" t="s">
        <v>1655</v>
      </c>
      <c r="C326" s="10" t="s">
        <v>802</v>
      </c>
      <c r="D326" s="10" t="s">
        <v>1691</v>
      </c>
      <c r="E326" s="10" t="s">
        <v>1688</v>
      </c>
      <c r="F326" s="10" t="s">
        <v>1689</v>
      </c>
      <c r="G326" s="10" t="s">
        <v>1690</v>
      </c>
    </row>
    <row r="327" spans="1:7" ht="28.8" x14ac:dyDescent="0.3">
      <c r="A327" s="10">
        <v>326</v>
      </c>
      <c r="B327" s="10" t="s">
        <v>1655</v>
      </c>
      <c r="C327" s="10" t="s">
        <v>802</v>
      </c>
      <c r="D327" s="10" t="s">
        <v>1692</v>
      </c>
      <c r="E327" s="10" t="s">
        <v>857</v>
      </c>
      <c r="F327" s="10" t="s">
        <v>1689</v>
      </c>
      <c r="G327" s="10" t="s">
        <v>1690</v>
      </c>
    </row>
    <row r="328" spans="1:7" ht="28.8" x14ac:dyDescent="0.3">
      <c r="A328" s="10">
        <v>327</v>
      </c>
      <c r="B328" s="10" t="s">
        <v>1655</v>
      </c>
      <c r="C328" s="10" t="s">
        <v>802</v>
      </c>
      <c r="D328" s="10" t="s">
        <v>1693</v>
      </c>
      <c r="E328" s="10" t="s">
        <v>857</v>
      </c>
      <c r="F328" s="10" t="s">
        <v>1689</v>
      </c>
      <c r="G328" s="10" t="s">
        <v>1690</v>
      </c>
    </row>
    <row r="329" spans="1:7" ht="28.8" x14ac:dyDescent="0.3">
      <c r="A329" s="10">
        <v>328</v>
      </c>
      <c r="B329" s="10" t="s">
        <v>1655</v>
      </c>
      <c r="C329" s="10" t="s">
        <v>802</v>
      </c>
      <c r="D329" s="10" t="s">
        <v>1694</v>
      </c>
      <c r="E329" s="10" t="s">
        <v>1688</v>
      </c>
      <c r="F329" s="10" t="s">
        <v>1689</v>
      </c>
      <c r="G329" s="10" t="s">
        <v>1690</v>
      </c>
    </row>
    <row r="330" spans="1:7" ht="28.8" x14ac:dyDescent="0.3">
      <c r="A330" s="10">
        <v>329</v>
      </c>
      <c r="B330" s="10" t="s">
        <v>1655</v>
      </c>
      <c r="C330" s="10" t="s">
        <v>802</v>
      </c>
      <c r="D330" s="10" t="s">
        <v>1695</v>
      </c>
      <c r="E330" s="10" t="s">
        <v>857</v>
      </c>
      <c r="F330" s="10" t="s">
        <v>1689</v>
      </c>
      <c r="G330" s="10" t="s">
        <v>1690</v>
      </c>
    </row>
    <row r="331" spans="1:7" ht="28.8" x14ac:dyDescent="0.3">
      <c r="A331" s="10">
        <v>330</v>
      </c>
      <c r="B331" s="10" t="s">
        <v>1655</v>
      </c>
      <c r="C331" s="10" t="s">
        <v>802</v>
      </c>
      <c r="D331" s="10" t="s">
        <v>1696</v>
      </c>
      <c r="E331" s="10" t="s">
        <v>857</v>
      </c>
      <c r="F331" s="10" t="s">
        <v>1689</v>
      </c>
      <c r="G331" s="10" t="s">
        <v>1690</v>
      </c>
    </row>
    <row r="332" spans="1:7" ht="28.8" x14ac:dyDescent="0.3">
      <c r="A332" s="10">
        <v>331</v>
      </c>
      <c r="B332" s="10" t="s">
        <v>1655</v>
      </c>
      <c r="C332" s="10" t="s">
        <v>802</v>
      </c>
      <c r="D332" s="10" t="s">
        <v>1697</v>
      </c>
      <c r="E332" s="10" t="s">
        <v>1688</v>
      </c>
      <c r="F332" s="10" t="s">
        <v>1689</v>
      </c>
      <c r="G332" s="10" t="s">
        <v>1690</v>
      </c>
    </row>
    <row r="333" spans="1:7" ht="28.8" x14ac:dyDescent="0.3">
      <c r="A333" s="10">
        <v>332</v>
      </c>
      <c r="B333" s="10" t="s">
        <v>1655</v>
      </c>
      <c r="C333" s="10" t="s">
        <v>802</v>
      </c>
      <c r="D333" s="10" t="s">
        <v>1698</v>
      </c>
      <c r="E333" s="10" t="s">
        <v>857</v>
      </c>
      <c r="F333" s="10" t="s">
        <v>1689</v>
      </c>
      <c r="G333" s="10" t="s">
        <v>1690</v>
      </c>
    </row>
    <row r="334" spans="1:7" ht="28.8" x14ac:dyDescent="0.3">
      <c r="A334" s="10">
        <v>333</v>
      </c>
      <c r="B334" s="10" t="s">
        <v>1655</v>
      </c>
      <c r="C334" s="10" t="s">
        <v>802</v>
      </c>
      <c r="D334" s="10" t="s">
        <v>1699</v>
      </c>
      <c r="E334" s="10" t="s">
        <v>857</v>
      </c>
      <c r="F334" s="10" t="s">
        <v>1689</v>
      </c>
      <c r="G334" s="10" t="s">
        <v>1690</v>
      </c>
    </row>
  </sheetData>
  <autoFilter ref="A1:G1" xr:uid="{136B5B40-94A3-4421-BFB7-153F1217A494}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workbookViewId="0">
      <selection activeCell="D7" sqref="D7"/>
    </sheetView>
  </sheetViews>
  <sheetFormatPr defaultRowHeight="18" x14ac:dyDescent="0.3"/>
  <cols>
    <col min="1" max="1" width="5.77734375" style="5" customWidth="1"/>
    <col min="2" max="2" width="29.6640625" style="5" bestFit="1" customWidth="1"/>
    <col min="3" max="3" width="10.33203125" style="5" bestFit="1" customWidth="1"/>
    <col min="4" max="4" width="61" style="5" customWidth="1"/>
    <col min="5" max="5" width="56.21875" style="5" bestFit="1" customWidth="1"/>
    <col min="6" max="7" width="50.109375" style="5" customWidth="1"/>
    <col min="8" max="16384" width="8.88671875" style="8"/>
  </cols>
  <sheetData>
    <row r="1" spans="1:7" x14ac:dyDescent="0.3">
      <c r="A1" s="4" t="s">
        <v>13</v>
      </c>
      <c r="B1" s="4" t="s">
        <v>0</v>
      </c>
      <c r="C1" s="4" t="s">
        <v>2</v>
      </c>
      <c r="D1" s="4" t="s">
        <v>6</v>
      </c>
      <c r="E1" s="4" t="s">
        <v>19</v>
      </c>
      <c r="F1" s="4" t="s">
        <v>7</v>
      </c>
      <c r="G1" s="4" t="s">
        <v>29</v>
      </c>
    </row>
    <row r="2" spans="1:7" x14ac:dyDescent="0.3">
      <c r="A2" s="5">
        <v>1</v>
      </c>
      <c r="B2" s="6" t="s">
        <v>11</v>
      </c>
      <c r="C2" s="5" t="s">
        <v>4</v>
      </c>
      <c r="D2" s="5" t="s">
        <v>12</v>
      </c>
    </row>
    <row r="3" spans="1:7" x14ac:dyDescent="0.3">
      <c r="A3" s="5">
        <v>2</v>
      </c>
      <c r="B3" s="6" t="s">
        <v>14</v>
      </c>
      <c r="C3" s="5" t="s">
        <v>4</v>
      </c>
      <c r="E3" s="6" t="s">
        <v>17</v>
      </c>
      <c r="F3" s="5" t="s">
        <v>18</v>
      </c>
    </row>
    <row r="4" spans="1:7" ht="36" x14ac:dyDescent="0.3">
      <c r="A4" s="5">
        <v>3</v>
      </c>
      <c r="B4" s="6" t="s">
        <v>15</v>
      </c>
      <c r="C4" s="5" t="s">
        <v>4</v>
      </c>
      <c r="D4" s="5" t="s">
        <v>21</v>
      </c>
      <c r="E4" s="6" t="s">
        <v>22</v>
      </c>
    </row>
    <row r="5" spans="1:7" ht="36" x14ac:dyDescent="0.3">
      <c r="A5" s="5">
        <v>4</v>
      </c>
      <c r="B5" s="6" t="s">
        <v>15</v>
      </c>
      <c r="C5" s="5" t="s">
        <v>4</v>
      </c>
      <c r="D5" s="5" t="s">
        <v>21</v>
      </c>
      <c r="E5" s="6" t="s">
        <v>23</v>
      </c>
    </row>
    <row r="6" spans="1:7" ht="36" x14ac:dyDescent="0.3">
      <c r="A6" s="5">
        <v>5</v>
      </c>
      <c r="B6" s="6" t="s">
        <v>15</v>
      </c>
      <c r="C6" s="5" t="s">
        <v>4</v>
      </c>
      <c r="D6" s="5" t="s">
        <v>21</v>
      </c>
      <c r="E6" s="6" t="s">
        <v>24</v>
      </c>
    </row>
    <row r="7" spans="1:7" ht="36" x14ac:dyDescent="0.3">
      <c r="A7" s="5">
        <v>6</v>
      </c>
      <c r="B7" s="6" t="s">
        <v>15</v>
      </c>
      <c r="C7" s="5" t="s">
        <v>4</v>
      </c>
      <c r="D7" s="5" t="s">
        <v>21</v>
      </c>
      <c r="E7" s="6" t="s">
        <v>25</v>
      </c>
    </row>
    <row r="8" spans="1:7" ht="36" x14ac:dyDescent="0.3">
      <c r="A8" s="5">
        <v>7</v>
      </c>
      <c r="B8" s="6" t="s">
        <v>15</v>
      </c>
      <c r="C8" s="5" t="s">
        <v>4</v>
      </c>
      <c r="D8" s="5" t="s">
        <v>21</v>
      </c>
      <c r="E8" s="6" t="s">
        <v>26</v>
      </c>
    </row>
    <row r="9" spans="1:7" ht="54" x14ac:dyDescent="0.3">
      <c r="A9" s="5">
        <v>8</v>
      </c>
      <c r="B9" s="6" t="s">
        <v>15</v>
      </c>
      <c r="C9" s="5" t="s">
        <v>4</v>
      </c>
      <c r="D9" s="5" t="s">
        <v>21</v>
      </c>
      <c r="E9" s="6" t="s">
        <v>27</v>
      </c>
    </row>
    <row r="10" spans="1:7" ht="36" x14ac:dyDescent="0.3">
      <c r="A10" s="5">
        <v>9</v>
      </c>
      <c r="B10" s="6" t="s">
        <v>15</v>
      </c>
      <c r="C10" s="5" t="s">
        <v>4</v>
      </c>
      <c r="D10" s="5" t="s">
        <v>21</v>
      </c>
      <c r="E10" s="6" t="s">
        <v>28</v>
      </c>
    </row>
    <row r="11" spans="1:7" ht="36" x14ac:dyDescent="0.3">
      <c r="A11" s="5">
        <v>10</v>
      </c>
      <c r="B11" s="6" t="s">
        <v>15</v>
      </c>
      <c r="C11" s="5" t="s">
        <v>4</v>
      </c>
      <c r="D11" s="5" t="s">
        <v>21</v>
      </c>
      <c r="E11" s="6" t="s">
        <v>30</v>
      </c>
    </row>
    <row r="12" spans="1:7" ht="36" x14ac:dyDescent="0.3">
      <c r="A12" s="5">
        <v>11</v>
      </c>
      <c r="B12" s="6" t="s">
        <v>15</v>
      </c>
      <c r="C12" s="5" t="s">
        <v>4</v>
      </c>
      <c r="D12" s="5" t="s">
        <v>21</v>
      </c>
      <c r="E12" s="6" t="s">
        <v>31</v>
      </c>
    </row>
    <row r="13" spans="1:7" ht="36" x14ac:dyDescent="0.3">
      <c r="A13" s="5">
        <v>12</v>
      </c>
      <c r="B13" s="6" t="s">
        <v>15</v>
      </c>
      <c r="C13" s="5" t="s">
        <v>4</v>
      </c>
      <c r="D13" s="5" t="s">
        <v>21</v>
      </c>
      <c r="E13" s="6" t="s">
        <v>32</v>
      </c>
    </row>
    <row r="14" spans="1:7" ht="36" x14ac:dyDescent="0.3">
      <c r="A14" s="5">
        <v>13</v>
      </c>
      <c r="B14" s="6" t="s">
        <v>15</v>
      </c>
      <c r="C14" s="5" t="s">
        <v>4</v>
      </c>
      <c r="D14" s="5" t="s">
        <v>21</v>
      </c>
      <c r="E14" s="6" t="s">
        <v>33</v>
      </c>
    </row>
    <row r="15" spans="1:7" ht="36" x14ac:dyDescent="0.3">
      <c r="A15" s="5">
        <v>14</v>
      </c>
      <c r="B15" s="6" t="s">
        <v>15</v>
      </c>
      <c r="C15" s="5" t="s">
        <v>4</v>
      </c>
      <c r="D15" s="5" t="s">
        <v>21</v>
      </c>
      <c r="E15" s="6" t="s">
        <v>34</v>
      </c>
    </row>
    <row r="16" spans="1:7" ht="36" x14ac:dyDescent="0.3">
      <c r="A16" s="5">
        <v>15</v>
      </c>
      <c r="B16" s="6" t="s">
        <v>15</v>
      </c>
      <c r="C16" s="5" t="s">
        <v>4</v>
      </c>
      <c r="D16" s="5" t="s">
        <v>21</v>
      </c>
      <c r="E16" s="6" t="s">
        <v>35</v>
      </c>
    </row>
    <row r="17" spans="1:5" ht="36" x14ac:dyDescent="0.3">
      <c r="A17" s="5">
        <v>16</v>
      </c>
      <c r="B17" s="6" t="s">
        <v>15</v>
      </c>
      <c r="C17" s="5" t="s">
        <v>4</v>
      </c>
      <c r="D17" s="5" t="s">
        <v>21</v>
      </c>
      <c r="E17" s="6" t="s">
        <v>36</v>
      </c>
    </row>
    <row r="18" spans="1:5" x14ac:dyDescent="0.3">
      <c r="A18" s="5">
        <v>17</v>
      </c>
      <c r="B18" s="6" t="s">
        <v>15</v>
      </c>
      <c r="C18" s="5" t="s">
        <v>3</v>
      </c>
      <c r="E18" s="6" t="s">
        <v>37</v>
      </c>
    </row>
    <row r="19" spans="1:5" x14ac:dyDescent="0.3">
      <c r="A19" s="5">
        <v>18</v>
      </c>
      <c r="B19" s="6" t="s">
        <v>15</v>
      </c>
      <c r="E19" s="5" t="s">
        <v>38</v>
      </c>
    </row>
    <row r="20" spans="1:5" x14ac:dyDescent="0.35">
      <c r="A20" s="5">
        <v>19</v>
      </c>
      <c r="B20" s="3" t="s">
        <v>15</v>
      </c>
      <c r="C20" s="7" t="s">
        <v>4</v>
      </c>
      <c r="D20" s="5" t="s">
        <v>16</v>
      </c>
      <c r="E20" s="6" t="s">
        <v>20</v>
      </c>
    </row>
    <row r="21" spans="1:5" x14ac:dyDescent="0.3">
      <c r="A21" s="5">
        <v>20</v>
      </c>
      <c r="B21" s="5" t="s">
        <v>15</v>
      </c>
      <c r="C21" s="5" t="s">
        <v>4</v>
      </c>
      <c r="D21" s="5" t="s">
        <v>16</v>
      </c>
      <c r="E21" s="6" t="s">
        <v>39</v>
      </c>
    </row>
  </sheetData>
  <autoFilter ref="B1:F1" xr:uid="{00000000-0001-0000-0000-000000000000}"/>
  <conditionalFormatting sqref="A1:G1048576">
    <cfRule type="expression" dxfId="0" priority="1">
      <formula>CELL("row")=ROW()</formula>
    </cfRule>
  </conditionalFormatting>
  <dataValidations count="2">
    <dataValidation type="list" allowBlank="1" showInputMessage="1" showErrorMessage="1" sqref="B2:B1048576" xr:uid="{145979D3-8942-441D-BF37-34724803803F}">
      <formula1>Unique_Expert</formula1>
    </dataValidation>
    <dataValidation type="list" allowBlank="1" showInputMessage="1" showErrorMessage="1" sqref="C2:C1048576" xr:uid="{10AE90D8-1E8C-4FA8-AFEA-DF79A26A4EB0}">
      <formula1>Unique_Type</formula1>
    </dataValidation>
  </dataValidations>
  <hyperlinks>
    <hyperlink ref="E3" r:id="rId1" xr:uid="{F4844E45-07D0-43C7-BD49-45824607211B}"/>
    <hyperlink ref="B2" r:id="rId2" xr:uid="{41A62410-7AEC-4368-94D5-11E4FC6F6EBA}"/>
    <hyperlink ref="B3" r:id="rId3" xr:uid="{6A67403B-3952-41F5-A074-3DB45CF10D88}"/>
    <hyperlink ref="B20" r:id="rId4" xr:uid="{7D930FD0-D7D1-45E4-AE10-51F9DC375D9E}"/>
    <hyperlink ref="E20" r:id="rId5" xr:uid="{077B0679-47CC-4E71-9F17-B7C6BA373AD0}"/>
    <hyperlink ref="E4" r:id="rId6" display="Concept, data management" xr:uid="{CB5E5635-DE86-4D10-BED7-5C11E53BE6A9}"/>
    <hyperlink ref="B4" r:id="rId7" xr:uid="{028867A2-5417-46DC-AC18-BCA5CC443D56}"/>
    <hyperlink ref="E5" r:id="rId8" display="Collection of historical orders and deals" xr:uid="{0345E8CF-A60D-460B-8605-107B648358EF}"/>
    <hyperlink ref="B5" r:id="rId9" xr:uid="{2A14D0F0-2A6A-4D2B-9C95-1D98588552CF}"/>
    <hyperlink ref="E6" r:id="rId10" xr:uid="{C34E5E02-AFDF-4D7D-8152-A2D6137CAD28}"/>
    <hyperlink ref="B6" r:id="rId11" xr:uid="{9EA9D54C-5712-4D92-9980-951082952541}"/>
    <hyperlink ref="E7" r:id="rId12" xr:uid="{86A9269E-0DFC-477A-88A4-F3328A5CFC5A}"/>
    <hyperlink ref="B7" r:id="rId13" xr:uid="{68D1EAFA-E7A4-408B-8C99-16D2D27CA551}"/>
    <hyperlink ref="E8" r:id="rId14" xr:uid="{2ED2B669-FCE9-4B9B-BF87-262E9CE4C69C}"/>
    <hyperlink ref="B8" r:id="rId15" xr:uid="{9A998BF2-39B4-4C00-9561-D5F729DF5374}"/>
    <hyperlink ref="E9" r:id="rId16" xr:uid="{BCCE1131-EE10-4C83-B70C-F5355C8C4B5B}"/>
    <hyperlink ref="B9" r:id="rId17" xr:uid="{3BE42365-365B-4CA0-87C7-E7465AA1165C}"/>
    <hyperlink ref="B10" r:id="rId18" xr:uid="{2D921895-8803-44BA-A7F4-14D49E377264}"/>
    <hyperlink ref="E10" r:id="rId19" xr:uid="{11EAEA2E-C318-4055-A0F3-0BCACB0B3554}"/>
    <hyperlink ref="E11" r:id="rId20" xr:uid="{F2DA296A-AF7C-4FCF-A8B1-4C3A8C43548C}"/>
    <hyperlink ref="B11" r:id="rId21" xr:uid="{9ED4C7C8-66DD-42CE-8923-9F90704A2C2A}"/>
    <hyperlink ref="E12" r:id="rId22" xr:uid="{97C8B500-8805-4CD3-9E26-EEC00F19D510}"/>
    <hyperlink ref="B12" r:id="rId23" xr:uid="{85FAE49C-65E2-4B65-AFE5-B15B99529C92}"/>
    <hyperlink ref="E13" r:id="rId24" xr:uid="{65D5A696-AFBD-497D-8D91-2D319516649F}"/>
    <hyperlink ref="B13" r:id="rId25" xr:uid="{5E022E46-1946-4203-834E-530601CA9E85}"/>
    <hyperlink ref="E14" r:id="rId26" xr:uid="{A95C8220-C108-412C-A5F8-041484BDDFED}"/>
    <hyperlink ref="B14" r:id="rId27" xr:uid="{C66A1A6D-D529-45FE-AC2E-EAE7D2057C38}"/>
    <hyperlink ref="E15" r:id="rId28" xr:uid="{F426B67D-5A65-4691-9744-4F585535CD2C}"/>
    <hyperlink ref="B15" r:id="rId29" xr:uid="{140068C5-72B0-462F-8B1E-820A94D2505B}"/>
    <hyperlink ref="E16" r:id="rId30" xr:uid="{6AC81528-8F37-46E5-B633-FFC26F333713}"/>
    <hyperlink ref="B16" r:id="rId31" xr:uid="{DB15E434-12ED-47B4-9F34-C478C9879FB5}"/>
    <hyperlink ref="E17" r:id="rId32" xr:uid="{AEAAFB61-3554-47E2-9945-700C913B505A}"/>
    <hyperlink ref="B17" r:id="rId33" xr:uid="{046A9AD5-D625-4C46-818B-EDEA5F9312DD}"/>
    <hyperlink ref="E18" r:id="rId34" xr:uid="{59F677DB-E002-44B7-BBEB-093D5C18C905}"/>
    <hyperlink ref="B18" r:id="rId35" xr:uid="{E28ECB45-9C3E-4303-A095-244A0F795B25}"/>
    <hyperlink ref="B19" r:id="rId36" xr:uid="{6BA38F69-B05D-451F-8F93-89EB76F0F791}"/>
    <hyperlink ref="E21" r:id="rId37" xr:uid="{92255C09-D45B-4A2B-84EA-3CD3147E1457}"/>
  </hyperlinks>
  <pageMargins left="0.7" right="0.7" top="0.75" bottom="0.75" header="0.3" footer="0.3"/>
  <pageSetup paperSize="9" orientation="portrait" r:id="rId3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9324-2E52-4E12-A3C6-E7E60B190695}">
  <sheetPr codeName="Sheet5"/>
  <dimension ref="B1:F49"/>
  <sheetViews>
    <sheetView workbookViewId="0">
      <selection activeCell="D14" sqref="D14"/>
    </sheetView>
  </sheetViews>
  <sheetFormatPr defaultRowHeight="14.4" x14ac:dyDescent="0.3"/>
  <cols>
    <col min="2" max="2" width="65.6640625" bestFit="1" customWidth="1"/>
    <col min="3" max="3" width="18.44140625" bestFit="1" customWidth="1"/>
    <col min="4" max="4" width="92.6640625" bestFit="1" customWidth="1"/>
    <col min="5" max="5" width="44.6640625" customWidth="1"/>
    <col min="6" max="6" width="32.33203125" bestFit="1" customWidth="1"/>
  </cols>
  <sheetData>
    <row r="1" spans="2:6" s="9" customFormat="1" x14ac:dyDescent="0.3">
      <c r="B1" s="9" t="s">
        <v>46</v>
      </c>
      <c r="C1" s="9" t="s">
        <v>44</v>
      </c>
      <c r="D1" s="9" t="s">
        <v>45</v>
      </c>
    </row>
    <row r="2" spans="2:6" x14ac:dyDescent="0.3">
      <c r="B2" t="s">
        <v>47</v>
      </c>
      <c r="C2" t="str">
        <f>LEFT(_xlfn.TEXTAFTER(B2,"\",-1),LEN(_xlfn.TEXTAFTER(B2,"\",-1))-1)</f>
        <v>GroupBox.mqh</v>
      </c>
      <c r="D2" t="str">
        <f t="shared" ref="D2:D49" si="0">"#include &lt;Vendors/Anhnt/CFramework/Old/Objects/"&amp;_xlfn.TEXTBEFORE(RIGHT(_xlfn.TEXTAFTER(B2,"Objects",-1),LEN(_xlfn.TEXTAFTER(B2,"Objects",-1))-1),"\",-1)&amp;"/"&amp;C2&amp;"&gt;"</f>
        <v>#include &lt;Vendors/Anhnt/CFramework/Old/Objects/Graph\WForms\Containers/GroupBox.mqh&gt;</v>
      </c>
      <c r="F2" t="str">
        <f>_xlfn.TEXTBEFORE(RIGHT(_xlfn.TEXTAFTER(B2,"Objects",-1),LEN(_xlfn.TEXTAFTER(B2,"Objects",-1))-1),"\",-1)</f>
        <v>Graph\WForms\Containers</v>
      </c>
    </row>
    <row r="3" spans="2:6" x14ac:dyDescent="0.3">
      <c r="B3" t="s">
        <v>48</v>
      </c>
      <c r="C3" t="str">
        <f t="shared" ref="C3:C49" si="1">LEFT(_xlfn.TEXTAFTER(B3,"\",-1),LEN(_xlfn.TEXTAFTER(B3,"\",-1))-1)</f>
        <v>Panel.mqh</v>
      </c>
      <c r="D3" t="str">
        <f t="shared" si="0"/>
        <v>#include &lt;Vendors/Anhnt/CFramework/Old/Objects/Graph\WForms\Containers/Panel.mqh&gt;</v>
      </c>
      <c r="F3" t="str">
        <f t="shared" ref="F3:F16" si="2">_xlfn.TEXTBEFORE(RIGHT(_xlfn.TEXTAFTER(B3,"Objects",-1),LEN(_xlfn.TEXTAFTER(B3,"Objects",-1))-1),"\",-1)</f>
        <v>Graph\WForms\Containers</v>
      </c>
    </row>
    <row r="4" spans="2:6" x14ac:dyDescent="0.3">
      <c r="B4" t="s">
        <v>49</v>
      </c>
      <c r="C4" t="str">
        <f t="shared" si="1"/>
        <v>CheckedListBox.mqh</v>
      </c>
      <c r="D4" t="str">
        <f t="shared" si="0"/>
        <v>#include &lt;Vendors/Anhnt/CFramework/Old/Objects/Graph\WForms\Common Controls/CheckedListBox.mqh&gt;</v>
      </c>
      <c r="F4" t="str">
        <f t="shared" si="2"/>
        <v>Graph\WForms\Common Controls</v>
      </c>
    </row>
    <row r="5" spans="2:6" x14ac:dyDescent="0.3">
      <c r="B5" t="s">
        <v>50</v>
      </c>
      <c r="C5" t="str">
        <f t="shared" si="1"/>
        <v>ButtonListBox.mqh</v>
      </c>
      <c r="D5" t="str">
        <f t="shared" si="0"/>
        <v>#include &lt;Vendors/Anhnt/CFramework/Old/Objects/Graph\WForms\Common Controls/ButtonListBox.mqh&gt;</v>
      </c>
      <c r="F5" t="str">
        <f t="shared" si="2"/>
        <v>Graph\WForms\Common Controls</v>
      </c>
    </row>
    <row r="6" spans="2:6" x14ac:dyDescent="0.3">
      <c r="B6" t="s">
        <v>51</v>
      </c>
      <c r="C6" t="str">
        <f t="shared" si="1"/>
        <v>GStdVLineObj.mqh</v>
      </c>
      <c r="D6" t="str">
        <f t="shared" si="0"/>
        <v>#include &lt;Vendors/Anhnt/CFramework/Old/Objects/Graph\Standard/GStdVLineObj.mqh&gt;</v>
      </c>
      <c r="F6" t="str">
        <f t="shared" si="2"/>
        <v>Graph\Standard</v>
      </c>
    </row>
    <row r="7" spans="2:6" x14ac:dyDescent="0.3">
      <c r="B7" t="s">
        <v>52</v>
      </c>
      <c r="C7" t="str">
        <f t="shared" si="1"/>
        <v>GStdHLineObj.mqh</v>
      </c>
      <c r="D7" t="str">
        <f t="shared" si="0"/>
        <v>#include &lt;Vendors/Anhnt/CFramework/Old/Objects/Graph\Standard/GStdHLineObj.mqh&gt;</v>
      </c>
      <c r="F7" t="str">
        <f t="shared" si="2"/>
        <v>Graph\Standard</v>
      </c>
    </row>
    <row r="8" spans="2:6" x14ac:dyDescent="0.3">
      <c r="B8" t="s">
        <v>53</v>
      </c>
      <c r="C8" t="str">
        <f t="shared" si="1"/>
        <v>GStdTrendObj.mqh</v>
      </c>
      <c r="D8" t="str">
        <f t="shared" si="0"/>
        <v>#include &lt;Vendors/Anhnt/CFramework/Old/Objects/Graph\Standard/GStdTrendObj.mqh&gt;</v>
      </c>
      <c r="F8" t="str">
        <f t="shared" si="2"/>
        <v>Graph\Standard</v>
      </c>
    </row>
    <row r="9" spans="2:6" x14ac:dyDescent="0.3">
      <c r="B9" t="s">
        <v>54</v>
      </c>
      <c r="C9" t="str">
        <f t="shared" si="1"/>
        <v>GStdTrendByAngleObj.mqh</v>
      </c>
      <c r="D9" t="str">
        <f t="shared" si="0"/>
        <v>#include &lt;Vendors/Anhnt/CFramework/Old/Objects/Graph\Standard/GStdTrendByAngleObj.mqh&gt;</v>
      </c>
      <c r="F9" t="str">
        <f t="shared" si="2"/>
        <v>Graph\Standard</v>
      </c>
    </row>
    <row r="10" spans="2:6" x14ac:dyDescent="0.3">
      <c r="B10" t="s">
        <v>55</v>
      </c>
      <c r="C10" t="str">
        <f t="shared" si="1"/>
        <v>GStdCiclesObj.mqh</v>
      </c>
      <c r="D10" t="str">
        <f t="shared" si="0"/>
        <v>#include &lt;Vendors/Anhnt/CFramework/Old/Objects/Graph\Standard/GStdCiclesObj.mqh&gt;</v>
      </c>
      <c r="F10" t="str">
        <f t="shared" si="2"/>
        <v>Graph\Standard</v>
      </c>
    </row>
    <row r="11" spans="2:6" x14ac:dyDescent="0.3">
      <c r="B11" t="s">
        <v>56</v>
      </c>
      <c r="C11" t="str">
        <f t="shared" si="1"/>
        <v>GStdArrowedLineObj.mqh</v>
      </c>
      <c r="D11" t="str">
        <f t="shared" si="0"/>
        <v>#include &lt;Vendors/Anhnt/CFramework/Old/Objects/Graph\Standard/GStdArrowedLineObj.mqh&gt;</v>
      </c>
      <c r="F11" t="str">
        <f t="shared" si="2"/>
        <v>Graph\Standard</v>
      </c>
    </row>
    <row r="12" spans="2:6" x14ac:dyDescent="0.3">
      <c r="B12" t="s">
        <v>57</v>
      </c>
      <c r="C12" t="str">
        <f t="shared" si="1"/>
        <v>GStdChannelObj.mqh</v>
      </c>
      <c r="D12" t="str">
        <f t="shared" si="0"/>
        <v>#include &lt;Vendors/Anhnt/CFramework/Old/Objects/Graph\Standard/GStdChannelObj.mqh&gt;</v>
      </c>
      <c r="F12" t="str">
        <f t="shared" si="2"/>
        <v>Graph\Standard</v>
      </c>
    </row>
    <row r="13" spans="2:6" x14ac:dyDescent="0.3">
      <c r="B13" t="s">
        <v>58</v>
      </c>
      <c r="C13" t="str">
        <f t="shared" si="1"/>
        <v>GStdStdDevChannelObj.mqh</v>
      </c>
      <c r="D13" t="str">
        <f t="shared" si="0"/>
        <v>#include &lt;Vendors/Anhnt/CFramework/Old/Objects/Graph\Standard/GStdStdDevChannelObj.mqh&gt;</v>
      </c>
      <c r="F13" t="str">
        <f t="shared" si="2"/>
        <v>Graph\Standard</v>
      </c>
    </row>
    <row r="14" spans="2:6" x14ac:dyDescent="0.3">
      <c r="B14" t="s">
        <v>59</v>
      </c>
      <c r="C14" t="str">
        <f t="shared" si="1"/>
        <v>GStdRegressionObj.mqh</v>
      </c>
      <c r="D14" t="str">
        <f t="shared" si="0"/>
        <v>#include &lt;Vendors/Anhnt/CFramework/Old/Objects/Graph\Standard/GStdRegressionObj.mqh&gt;</v>
      </c>
      <c r="F14" t="str">
        <f t="shared" si="2"/>
        <v>Graph\Standard</v>
      </c>
    </row>
    <row r="15" spans="2:6" x14ac:dyDescent="0.3">
      <c r="B15" t="s">
        <v>60</v>
      </c>
      <c r="C15" t="str">
        <f t="shared" si="1"/>
        <v>GStdPitchforkObj.mqh</v>
      </c>
      <c r="D15" t="str">
        <f t="shared" si="0"/>
        <v>#include &lt;Vendors/Anhnt/CFramework/Old/Objects/Graph\Standard/GStdPitchforkObj.mqh&gt;</v>
      </c>
      <c r="F15" t="str">
        <f t="shared" si="2"/>
        <v>Graph\Standard</v>
      </c>
    </row>
    <row r="16" spans="2:6" x14ac:dyDescent="0.3">
      <c r="B16" t="s">
        <v>61</v>
      </c>
      <c r="C16" t="str">
        <f t="shared" si="1"/>
        <v>GStdGannLineObj.mqh</v>
      </c>
      <c r="D16" t="str">
        <f t="shared" si="0"/>
        <v>#include &lt;Vendors/Anhnt/CFramework/Old/Objects/Graph\Standard/GStdGannLineObj.mqh&gt;</v>
      </c>
      <c r="F16" t="str">
        <f t="shared" si="2"/>
        <v>Graph\Standard</v>
      </c>
    </row>
    <row r="17" spans="2:4" x14ac:dyDescent="0.3">
      <c r="B17" t="s">
        <v>62</v>
      </c>
      <c r="C17" t="str">
        <f t="shared" si="1"/>
        <v>GStdGannFanObj.mqh</v>
      </c>
      <c r="D17" t="str">
        <f t="shared" si="0"/>
        <v>#include &lt;Vendors/Anhnt/CFramework/Old/Objects/Graph\Standard/GStdGannFanObj.mqh&gt;</v>
      </c>
    </row>
    <row r="18" spans="2:4" x14ac:dyDescent="0.3">
      <c r="B18" t="s">
        <v>63</v>
      </c>
      <c r="C18" t="str">
        <f t="shared" si="1"/>
        <v>GStdGannGridObj.mqh</v>
      </c>
      <c r="D18" t="str">
        <f t="shared" si="0"/>
        <v>#include &lt;Vendors/Anhnt/CFramework/Old/Objects/Graph\Standard/GStdGannGridObj.mqh&gt;</v>
      </c>
    </row>
    <row r="19" spans="2:4" x14ac:dyDescent="0.3">
      <c r="B19" t="s">
        <v>64</v>
      </c>
      <c r="C19" t="str">
        <f t="shared" si="1"/>
        <v>GStdFiboObj.mqh</v>
      </c>
      <c r="D19" t="str">
        <f t="shared" si="0"/>
        <v>#include &lt;Vendors/Anhnt/CFramework/Old/Objects/Graph\Standard/GStdFiboObj.mqh&gt;</v>
      </c>
    </row>
    <row r="20" spans="2:4" x14ac:dyDescent="0.3">
      <c r="B20" t="s">
        <v>65</v>
      </c>
      <c r="C20" t="str">
        <f t="shared" si="1"/>
        <v>GStdFiboTimesObj.mqh</v>
      </c>
      <c r="D20" t="str">
        <f t="shared" si="0"/>
        <v>#include &lt;Vendors/Anhnt/CFramework/Old/Objects/Graph\Standard/GStdFiboTimesObj.mqh&gt;</v>
      </c>
    </row>
    <row r="21" spans="2:4" x14ac:dyDescent="0.3">
      <c r="B21" t="s">
        <v>66</v>
      </c>
      <c r="C21" t="str">
        <f t="shared" si="1"/>
        <v>GStdFiboFanObj.mqh</v>
      </c>
      <c r="D21" t="str">
        <f t="shared" si="0"/>
        <v>#include &lt;Vendors/Anhnt/CFramework/Old/Objects/Graph\Standard/GStdFiboFanObj.mqh&gt;</v>
      </c>
    </row>
    <row r="22" spans="2:4" x14ac:dyDescent="0.3">
      <c r="B22" t="s">
        <v>67</v>
      </c>
      <c r="C22" t="str">
        <f t="shared" si="1"/>
        <v>GStdFiboArcObj.mqh</v>
      </c>
      <c r="D22" t="str">
        <f t="shared" si="0"/>
        <v>#include &lt;Vendors/Anhnt/CFramework/Old/Objects/Graph\Standard/GStdFiboArcObj.mqh&gt;</v>
      </c>
    </row>
    <row r="23" spans="2:4" x14ac:dyDescent="0.3">
      <c r="B23" t="s">
        <v>68</v>
      </c>
      <c r="C23" t="str">
        <f t="shared" si="1"/>
        <v>GStdFiboChannelObj.mqh</v>
      </c>
      <c r="D23" t="str">
        <f t="shared" si="0"/>
        <v>#include &lt;Vendors/Anhnt/CFramework/Old/Objects/Graph\Standard/GStdFiboChannelObj.mqh&gt;</v>
      </c>
    </row>
    <row r="24" spans="2:4" x14ac:dyDescent="0.3">
      <c r="B24" t="s">
        <v>69</v>
      </c>
      <c r="C24" t="str">
        <f t="shared" si="1"/>
        <v>GStdExpansionObj.mqh</v>
      </c>
      <c r="D24" t="str">
        <f t="shared" si="0"/>
        <v>#include &lt;Vendors/Anhnt/CFramework/Old/Objects/Graph\Standard/GStdExpansionObj.mqh&gt;</v>
      </c>
    </row>
    <row r="25" spans="2:4" x14ac:dyDescent="0.3">
      <c r="B25" t="s">
        <v>70</v>
      </c>
      <c r="C25" t="str">
        <f t="shared" si="1"/>
        <v>GStdElliotWave5Obj.mqh</v>
      </c>
      <c r="D25" t="str">
        <f t="shared" si="0"/>
        <v>#include &lt;Vendors/Anhnt/CFramework/Old/Objects/Graph\Standard/GStdElliotWave5Obj.mqh&gt;</v>
      </c>
    </row>
    <row r="26" spans="2:4" x14ac:dyDescent="0.3">
      <c r="B26" t="s">
        <v>71</v>
      </c>
      <c r="C26" t="str">
        <f t="shared" si="1"/>
        <v>GStdElliotWave3Obj.mqh</v>
      </c>
      <c r="D26" t="str">
        <f t="shared" si="0"/>
        <v>#include &lt;Vendors/Anhnt/CFramework/Old/Objects/Graph\Standard/GStdElliotWave3Obj.mqh&gt;</v>
      </c>
    </row>
    <row r="27" spans="2:4" x14ac:dyDescent="0.3">
      <c r="B27" t="s">
        <v>72</v>
      </c>
      <c r="C27" t="str">
        <f t="shared" si="1"/>
        <v>GStdRectangleObj.mqh</v>
      </c>
      <c r="D27" t="str">
        <f t="shared" si="0"/>
        <v>#include &lt;Vendors/Anhnt/CFramework/Old/Objects/Graph\Standard/GStdRectangleObj.mqh&gt;</v>
      </c>
    </row>
    <row r="28" spans="2:4" x14ac:dyDescent="0.3">
      <c r="B28" t="s">
        <v>73</v>
      </c>
      <c r="C28" t="str">
        <f t="shared" si="1"/>
        <v>GStdTriangleObj.mqh</v>
      </c>
      <c r="D28" t="str">
        <f t="shared" si="0"/>
        <v>#include &lt;Vendors/Anhnt/CFramework/Old/Objects/Graph\Standard/GStdTriangleObj.mqh&gt;</v>
      </c>
    </row>
    <row r="29" spans="2:4" x14ac:dyDescent="0.3">
      <c r="B29" t="s">
        <v>74</v>
      </c>
      <c r="C29" t="str">
        <f t="shared" si="1"/>
        <v>GStdEllipseObj.mqh</v>
      </c>
      <c r="D29" t="str">
        <f t="shared" si="0"/>
        <v>#include &lt;Vendors/Anhnt/CFramework/Old/Objects/Graph\Standard/GStdEllipseObj.mqh&gt;</v>
      </c>
    </row>
    <row r="30" spans="2:4" x14ac:dyDescent="0.3">
      <c r="B30" t="s">
        <v>75</v>
      </c>
      <c r="C30" t="str">
        <f t="shared" si="1"/>
        <v>GStdArrowThumbUpObj.mqh</v>
      </c>
      <c r="D30" t="str">
        <f t="shared" si="0"/>
        <v>#include &lt;Vendors/Anhnt/CFramework/Old/Objects/Graph\Standard/GStdArrowThumbUpObj.mqh&gt;</v>
      </c>
    </row>
    <row r="31" spans="2:4" x14ac:dyDescent="0.3">
      <c r="B31" t="s">
        <v>76</v>
      </c>
      <c r="C31" t="str">
        <f t="shared" si="1"/>
        <v>GStdArrowThumbDownObj.mqh</v>
      </c>
      <c r="D31" t="str">
        <f t="shared" si="0"/>
        <v>#include &lt;Vendors/Anhnt/CFramework/Old/Objects/Graph\Standard/GStdArrowThumbDownObj.mqh&gt;</v>
      </c>
    </row>
    <row r="32" spans="2:4" x14ac:dyDescent="0.3">
      <c r="B32" t="s">
        <v>77</v>
      </c>
      <c r="C32" t="str">
        <f t="shared" si="1"/>
        <v>GStdArrowUpObj.mqh</v>
      </c>
      <c r="D32" t="str">
        <f t="shared" si="0"/>
        <v>#include &lt;Vendors/Anhnt/CFramework/Old/Objects/Graph\Standard/GStdArrowUpObj.mqh&gt;</v>
      </c>
    </row>
    <row r="33" spans="2:4" x14ac:dyDescent="0.3">
      <c r="B33" t="s">
        <v>78</v>
      </c>
      <c r="C33" t="str">
        <f t="shared" si="1"/>
        <v>GStdArrowDownObj.mqh</v>
      </c>
      <c r="D33" t="str">
        <f t="shared" si="0"/>
        <v>#include &lt;Vendors/Anhnt/CFramework/Old/Objects/Graph\Standard/GStdArrowDownObj.mqh&gt;</v>
      </c>
    </row>
    <row r="34" spans="2:4" x14ac:dyDescent="0.3">
      <c r="B34" t="s">
        <v>79</v>
      </c>
      <c r="C34" t="str">
        <f t="shared" si="1"/>
        <v>GStdArrowStopObj.mqh</v>
      </c>
      <c r="D34" t="str">
        <f t="shared" si="0"/>
        <v>#include &lt;Vendors/Anhnt/CFramework/Old/Objects/Graph\Standard/GStdArrowStopObj.mqh&gt;</v>
      </c>
    </row>
    <row r="35" spans="2:4" x14ac:dyDescent="0.3">
      <c r="B35" t="s">
        <v>80</v>
      </c>
      <c r="C35" t="str">
        <f t="shared" si="1"/>
        <v>GStdArrowCheckObj.mqh</v>
      </c>
      <c r="D35" t="str">
        <f t="shared" si="0"/>
        <v>#include &lt;Vendors/Anhnt/CFramework/Old/Objects/Graph\Standard/GStdArrowCheckObj.mqh&gt;</v>
      </c>
    </row>
    <row r="36" spans="2:4" x14ac:dyDescent="0.3">
      <c r="B36" t="s">
        <v>81</v>
      </c>
      <c r="C36" t="str">
        <f t="shared" si="1"/>
        <v>GStdArrowLeftPriceObj.mqh</v>
      </c>
      <c r="D36" t="str">
        <f t="shared" si="0"/>
        <v>#include &lt;Vendors/Anhnt/CFramework/Old/Objects/Graph\Standard/GStdArrowLeftPriceObj.mqh&gt;</v>
      </c>
    </row>
    <row r="37" spans="2:4" x14ac:dyDescent="0.3">
      <c r="B37" t="s">
        <v>82</v>
      </c>
      <c r="C37" t="str">
        <f t="shared" si="1"/>
        <v>GStdArrowRightPriceObj.mqh</v>
      </c>
      <c r="D37" t="str">
        <f t="shared" si="0"/>
        <v>#include &lt;Vendors/Anhnt/CFramework/Old/Objects/Graph\Standard/GStdArrowRightPriceObj.mqh&gt;</v>
      </c>
    </row>
    <row r="38" spans="2:4" x14ac:dyDescent="0.3">
      <c r="B38" t="s">
        <v>83</v>
      </c>
      <c r="C38" t="str">
        <f t="shared" si="1"/>
        <v>GStdArrowBuyObj.mqh</v>
      </c>
      <c r="D38" t="str">
        <f t="shared" si="0"/>
        <v>#include &lt;Vendors/Anhnt/CFramework/Old/Objects/Graph\Standard/GStdArrowBuyObj.mqh&gt;</v>
      </c>
    </row>
    <row r="39" spans="2:4" x14ac:dyDescent="0.3">
      <c r="B39" t="s">
        <v>84</v>
      </c>
      <c r="C39" t="str">
        <f t="shared" si="1"/>
        <v>GStdArrowSellObj.mqh</v>
      </c>
      <c r="D39" t="str">
        <f t="shared" si="0"/>
        <v>#include &lt;Vendors/Anhnt/CFramework/Old/Objects/Graph\Standard/GStdArrowSellObj.mqh&gt;</v>
      </c>
    </row>
    <row r="40" spans="2:4" x14ac:dyDescent="0.3">
      <c r="B40" t="s">
        <v>85</v>
      </c>
      <c r="C40" t="str">
        <f t="shared" si="1"/>
        <v>GStdArrowObj.mqh</v>
      </c>
      <c r="D40" t="str">
        <f t="shared" si="0"/>
        <v>#include &lt;Vendors/Anhnt/CFramework/Old/Objects/Graph\Standard/GStdArrowObj.mqh&gt;</v>
      </c>
    </row>
    <row r="41" spans="2:4" x14ac:dyDescent="0.3">
      <c r="B41" t="s">
        <v>86</v>
      </c>
      <c r="C41" t="str">
        <f t="shared" si="1"/>
        <v>GStdTextObj.mqh</v>
      </c>
      <c r="D41" t="str">
        <f t="shared" si="0"/>
        <v>#include &lt;Vendors/Anhnt/CFramework/Old/Objects/Graph\Standard/GStdTextObj.mqh&gt;</v>
      </c>
    </row>
    <row r="42" spans="2:4" x14ac:dyDescent="0.3">
      <c r="B42" t="s">
        <v>87</v>
      </c>
      <c r="C42" t="str">
        <f t="shared" si="1"/>
        <v>GStdLabelObj.mqh</v>
      </c>
      <c r="D42" t="str">
        <f t="shared" si="0"/>
        <v>#include &lt;Vendors/Anhnt/CFramework/Old/Objects/Graph\Standard/GStdLabelObj.mqh&gt;</v>
      </c>
    </row>
    <row r="43" spans="2:4" x14ac:dyDescent="0.3">
      <c r="B43" t="s">
        <v>88</v>
      </c>
      <c r="C43" t="str">
        <f t="shared" si="1"/>
        <v>GStdButtonObj.mqh</v>
      </c>
      <c r="D43" t="str">
        <f t="shared" si="0"/>
        <v>#include &lt;Vendors/Anhnt/CFramework/Old/Objects/Graph\Standard/GStdButtonObj.mqh&gt;</v>
      </c>
    </row>
    <row r="44" spans="2:4" x14ac:dyDescent="0.3">
      <c r="B44" t="s">
        <v>89</v>
      </c>
      <c r="C44" t="str">
        <f t="shared" si="1"/>
        <v>GStdChartObj.mqh</v>
      </c>
      <c r="D44" t="str">
        <f t="shared" si="0"/>
        <v>#include &lt;Vendors/Anhnt/CFramework/Old/Objects/Graph\Standard/GStdChartObj.mqh&gt;</v>
      </c>
    </row>
    <row r="45" spans="2:4" x14ac:dyDescent="0.3">
      <c r="B45" t="s">
        <v>90</v>
      </c>
      <c r="C45" t="str">
        <f t="shared" si="1"/>
        <v>GStdBitmapObj.mqh</v>
      </c>
      <c r="D45" t="str">
        <f t="shared" si="0"/>
        <v>#include &lt;Vendors/Anhnt/CFramework/Old/Objects/Graph\Standard/GStdBitmapObj.mqh&gt;</v>
      </c>
    </row>
    <row r="46" spans="2:4" x14ac:dyDescent="0.3">
      <c r="B46" t="s">
        <v>91</v>
      </c>
      <c r="C46" t="str">
        <f t="shared" si="1"/>
        <v>GStdBitmapLabelObj.mqh</v>
      </c>
      <c r="D46" t="str">
        <f t="shared" si="0"/>
        <v>#include &lt;Vendors/Anhnt/CFramework/Old/Objects/Graph\Standard/GStdBitmapLabelObj.mqh&gt;</v>
      </c>
    </row>
    <row r="47" spans="2:4" x14ac:dyDescent="0.3">
      <c r="B47" t="s">
        <v>92</v>
      </c>
      <c r="C47" t="str">
        <f t="shared" si="1"/>
        <v>GStdEditObj.mqh</v>
      </c>
      <c r="D47" t="str">
        <f t="shared" si="0"/>
        <v>#include &lt;Vendors/Anhnt/CFramework/Old/Objects/Graph\Standard/GStdEditObj.mqh&gt;</v>
      </c>
    </row>
    <row r="48" spans="2:4" x14ac:dyDescent="0.3">
      <c r="B48" t="s">
        <v>93</v>
      </c>
      <c r="C48" t="str">
        <f t="shared" si="1"/>
        <v>GStdEventObj.mqh</v>
      </c>
      <c r="D48" t="str">
        <f t="shared" si="0"/>
        <v>#include &lt;Vendors/Anhnt/CFramework/Old/Objects/Graph\Standard/GStdEventObj.mqh&gt;</v>
      </c>
    </row>
    <row r="49" spans="2:4" x14ac:dyDescent="0.3">
      <c r="B49" t="s">
        <v>94</v>
      </c>
      <c r="C49" t="str">
        <f t="shared" si="1"/>
        <v>GStdRectangleLabelObj.mqh</v>
      </c>
      <c r="D49" t="str">
        <f t="shared" si="0"/>
        <v>#include &lt;Vendors/Anhnt/CFramework/Old/Objects/Graph\Standard/GStdRectangleLabelObj.mqh&gt;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E06D5-5909-48D4-A730-B6A68920DCDE}">
  <sheetPr codeName="Sheet3"/>
  <dimension ref="B1:I27"/>
  <sheetViews>
    <sheetView tabSelected="1" workbookViewId="0">
      <selection activeCell="I7" sqref="I7:I14"/>
    </sheetView>
  </sheetViews>
  <sheetFormatPr defaultRowHeight="14.4" x14ac:dyDescent="0.3"/>
  <cols>
    <col min="2" max="2" width="22" bestFit="1" customWidth="1"/>
    <col min="3" max="3" width="26.33203125" bestFit="1" customWidth="1"/>
    <col min="4" max="4" width="46.88671875" bestFit="1" customWidth="1"/>
    <col min="5" max="5" width="35.77734375" bestFit="1" customWidth="1"/>
    <col min="7" max="7" width="21.109375" bestFit="1" customWidth="1"/>
    <col min="8" max="8" width="22" bestFit="1" customWidth="1"/>
    <col min="9" max="9" width="46.6640625" bestFit="1" customWidth="1"/>
    <col min="10" max="10" width="28.77734375" bestFit="1" customWidth="1"/>
  </cols>
  <sheetData>
    <row r="1" spans="2:9" x14ac:dyDescent="0.3">
      <c r="B1" s="9" t="s">
        <v>44</v>
      </c>
      <c r="G1" s="9" t="s">
        <v>112</v>
      </c>
    </row>
    <row r="2" spans="2:9" x14ac:dyDescent="0.3">
      <c r="B2" t="s">
        <v>721</v>
      </c>
      <c r="C2" t="str">
        <f>UPPER(SUBSTITUTE(B2,".","_"))</f>
        <v>PATTERNCONTROL_MQH</v>
      </c>
      <c r="D2" t="str">
        <f>"#ifndef __"&amp;C$2&amp;"__"</f>
        <v>#ifndef __PATTERNCONTROL_MQH__</v>
      </c>
      <c r="G2" t="str">
        <f>"C"&amp;C2</f>
        <v>CPATTERNCONTROL_MQH</v>
      </c>
      <c r="H2" t="str">
        <f>UPPER(G2)</f>
        <v>CPATTERNCONTROL_MQH</v>
      </c>
      <c r="I2" t="str">
        <f>"#ifndef "&amp;$H2</f>
        <v>#ifndef CPATTERNCONTROL_MQH</v>
      </c>
    </row>
    <row r="3" spans="2:9" x14ac:dyDescent="0.3">
      <c r="D3" t="str">
        <f>"#define __" &amp; C2&amp;"__"</f>
        <v>#define __PATTERNCONTROL_MQH__</v>
      </c>
      <c r="I3" t="str">
        <f>"#define " &amp; $H2</f>
        <v>#define CPATTERNCONTROL_MQH</v>
      </c>
    </row>
    <row r="4" spans="2:9" x14ac:dyDescent="0.3">
      <c r="D4" t="str">
        <f>"#endif // __" &amp;C2&amp;"__"</f>
        <v>#endif // __PATTERNCONTROL_MQH__</v>
      </c>
      <c r="I4" t="str">
        <f>"#endif // " &amp;$H2</f>
        <v>#endif // CPATTERNCONTROL_MQH</v>
      </c>
    </row>
    <row r="6" spans="2:9" x14ac:dyDescent="0.3">
      <c r="C6" t="s">
        <v>115</v>
      </c>
      <c r="D6" t="str">
        <f>"#ifndef "&amp;C6&amp;"_"&amp;C2</f>
        <v>#ifndef MOVE_TO_PATTERNCONTROL_MQH</v>
      </c>
    </row>
    <row r="7" spans="2:9" x14ac:dyDescent="0.3">
      <c r="D7" t="str">
        <f>"#define " &amp; C6&amp;"_"&amp;C2</f>
        <v>#define MOVE_TO_PATTERNCONTROL_MQH</v>
      </c>
      <c r="H7" t="s">
        <v>113</v>
      </c>
      <c r="I7" t="str">
        <f>"#ifndef "&amp;$H$2&amp;"_"&amp;$H7</f>
        <v>#ifndef CPATTERNCONTROL_MQH_DECLARATION</v>
      </c>
    </row>
    <row r="8" spans="2:9" x14ac:dyDescent="0.3">
      <c r="D8" t="str">
        <f>"#endif // " &amp;C6&amp;"_"&amp;C2</f>
        <v>#endif // MOVE_TO_PATTERNCONTROL_MQH</v>
      </c>
      <c r="I8" t="str">
        <f>"#define " &amp; $H$2&amp;"_"&amp;H7</f>
        <v>#define CPATTERNCONTROL_MQH_DECLARATION</v>
      </c>
    </row>
    <row r="9" spans="2:9" x14ac:dyDescent="0.3">
      <c r="I9" t="str">
        <f>"#endif // " &amp;$H2&amp;"_"&amp;H7</f>
        <v>#endif // CPATTERNCONTROL_MQH_DECLARATION</v>
      </c>
    </row>
    <row r="10" spans="2:9" x14ac:dyDescent="0.3">
      <c r="B10" t="s">
        <v>184</v>
      </c>
      <c r="C10" t="str">
        <f>UPPER(SUBSTITUTE(B10,".","_"))</f>
        <v>CMAINPROGRAM_ONINITEVENT</v>
      </c>
      <c r="D10" t="str">
        <f>"#ifndef __"&amp;C6&amp;"_"&amp;C$10&amp;"__"</f>
        <v>#ifndef __MOVE_TO_CMAINPROGRAM_ONINITEVENT__</v>
      </c>
    </row>
    <row r="11" spans="2:9" x14ac:dyDescent="0.3">
      <c r="D11" t="str">
        <f>"#define __" &amp; C6&amp;"_"&amp;C10&amp;"__"</f>
        <v>#define __MOVE_TO_CMAINPROGRAM_ONINITEVENT__</v>
      </c>
    </row>
    <row r="12" spans="2:9" x14ac:dyDescent="0.3">
      <c r="D12" t="str">
        <f>"#endif // " &amp;C6&amp;"_"&amp;C10&amp;"__"</f>
        <v>#endif // MOVE_TO_CMAINPROGRAM_ONINITEVENT__</v>
      </c>
      <c r="H12" t="s">
        <v>114</v>
      </c>
      <c r="I12" t="str">
        <f>"#ifndef "&amp;$H$2&amp;"_"&amp;$H12</f>
        <v>#ifndef CPATTERNCONTROL_MQH_IMPLEMENTATION</v>
      </c>
    </row>
    <row r="13" spans="2:9" x14ac:dyDescent="0.3">
      <c r="I13" t="str">
        <f>"#define " &amp; $H$2&amp;"_"&amp;H12</f>
        <v>#define CPATTERNCONTROL_MQH_IMPLEMENTATION</v>
      </c>
    </row>
    <row r="14" spans="2:9" x14ac:dyDescent="0.3">
      <c r="I14" t="str">
        <f>"#endif // " &amp;H2&amp;"_"&amp;H12</f>
        <v>#endif // CPATTERNCONTROL_MQH_IMPLEMENTATION</v>
      </c>
    </row>
    <row r="15" spans="2:9" x14ac:dyDescent="0.3">
      <c r="C15" t="s">
        <v>152</v>
      </c>
    </row>
    <row r="16" spans="2:9" x14ac:dyDescent="0.3">
      <c r="B16" t="s">
        <v>140</v>
      </c>
      <c r="C16" t="str">
        <f>UPPER(SUBSTITUTE(B16,".","_"))</f>
        <v>CTABLEROWVIEW</v>
      </c>
      <c r="D16" t="str">
        <f>"#ifndef __"&amp;C15&amp;"_"&amp;C$16&amp;"_CLASS__"</f>
        <v>#ifndef __MOVE_FROM_CTABLEROWVIEW_CLASS__</v>
      </c>
    </row>
    <row r="17" spans="2:5" x14ac:dyDescent="0.3">
      <c r="D17" t="str">
        <f>"#define __" &amp; C15&amp;"_"&amp;C16&amp;"_CLASS__"</f>
        <v>#define __MOVE_FROM_CTABLEROWVIEW_CLASS__</v>
      </c>
    </row>
    <row r="18" spans="2:5" x14ac:dyDescent="0.3">
      <c r="D18" t="str">
        <f>"#endif // " &amp;C15&amp;"_"&amp;C16&amp;"_CLASS__"</f>
        <v>#endif // MOVE_FROM_CTABLEROWVIEW_CLASS__</v>
      </c>
    </row>
    <row r="21" spans="2:5" x14ac:dyDescent="0.3">
      <c r="B21" t="s">
        <v>182</v>
      </c>
      <c r="C21" t="str">
        <f>UPPER(SUBSTITUTE(B21,".","_"))</f>
        <v>KNOW</v>
      </c>
      <c r="D21" t="str">
        <f>"#ifndef __"&amp;C$21&amp;"__"</f>
        <v>#ifndef __KNOW__</v>
      </c>
      <c r="E21" t="str">
        <f>"#ifndef _"&amp;C$21&amp;"_DECLARATION"</f>
        <v>#ifndef _KNOW_DECLARATION</v>
      </c>
    </row>
    <row r="22" spans="2:5" x14ac:dyDescent="0.3">
      <c r="D22" t="str">
        <f>"#define __" &amp;C21&amp;"__"</f>
        <v>#define __KNOW__</v>
      </c>
      <c r="E22" t="str">
        <f>"#define _" &amp;C21&amp;"_DECLARATION"</f>
        <v>#define _KNOW_DECLARATION</v>
      </c>
    </row>
    <row r="23" spans="2:5" x14ac:dyDescent="0.3">
      <c r="D23" t="str">
        <f>"#endif // __"  &amp;C21&amp;"__"</f>
        <v>#endif // __KNOW__</v>
      </c>
      <c r="E23" t="str">
        <f>"#endif // _"  &amp;C21&amp;"_DECLARATION"</f>
        <v>#endif // _KNOW_DECLARATION</v>
      </c>
    </row>
    <row r="25" spans="2:5" x14ac:dyDescent="0.3">
      <c r="B25" t="s">
        <v>183</v>
      </c>
      <c r="C25" t="str">
        <f>UPPER(SUBSTITUTE(B25,".","_"))</f>
        <v>UN_KNOW</v>
      </c>
      <c r="D25" t="str">
        <f>"#ifndef __"&amp;C$25&amp;"__"</f>
        <v>#ifndef __UN_KNOW__</v>
      </c>
      <c r="E25" t="str">
        <f>"#ifndef _"&amp;C$25&amp;"_IMPLEMENTATION"</f>
        <v>#ifndef _UN_KNOW_IMPLEMENTATION</v>
      </c>
    </row>
    <row r="26" spans="2:5" x14ac:dyDescent="0.3">
      <c r="D26" t="str">
        <f>"#define __" &amp;C$25&amp;"__"</f>
        <v>#define __UN_KNOW__</v>
      </c>
      <c r="E26" t="str">
        <f>"#define _" &amp;C$25&amp;"_IMPLEMENTATION"</f>
        <v>#define _UN_KNOW_IMPLEMENTATION</v>
      </c>
    </row>
    <row r="27" spans="2:5" x14ac:dyDescent="0.3">
      <c r="D27" t="str">
        <f>"#endif // __"  &amp;C25&amp;"__"</f>
        <v>#endif // __UN_KNOW__</v>
      </c>
      <c r="E27" t="str">
        <f>"#endif // _"  &amp;C25&amp;"_IMPLEMENTATION"</f>
        <v>#endif // _UN_KNOW_IMPLEMENTATION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C9AC7-73C8-4031-9C5A-D7875FA74A42}">
  <sheetPr codeName="Sheet13"/>
  <dimension ref="D2:H4"/>
  <sheetViews>
    <sheetView workbookViewId="0">
      <selection activeCell="H5" sqref="H5"/>
    </sheetView>
  </sheetViews>
  <sheetFormatPr defaultRowHeight="14.4" x14ac:dyDescent="0.3"/>
  <cols>
    <col min="5" max="5" width="11.44140625" bestFit="1" customWidth="1"/>
  </cols>
  <sheetData>
    <row r="2" spans="4:8" x14ac:dyDescent="0.3">
      <c r="D2" t="s">
        <v>173</v>
      </c>
      <c r="E2" t="s">
        <v>174</v>
      </c>
      <c r="F2" t="s">
        <v>177</v>
      </c>
      <c r="G2" t="s">
        <v>178</v>
      </c>
      <c r="H2" t="s">
        <v>179</v>
      </c>
    </row>
    <row r="3" spans="4:8" x14ac:dyDescent="0.3">
      <c r="D3" t="s">
        <v>175</v>
      </c>
      <c r="E3" t="s">
        <v>176</v>
      </c>
      <c r="F3">
        <v>3500</v>
      </c>
      <c r="G3">
        <v>3600</v>
      </c>
      <c r="H3">
        <v>-10</v>
      </c>
    </row>
    <row r="4" spans="4:8" x14ac:dyDescent="0.3">
      <c r="D4" t="s">
        <v>180</v>
      </c>
      <c r="E4" t="s">
        <v>181</v>
      </c>
      <c r="F4">
        <v>4500</v>
      </c>
      <c r="G4">
        <v>4700</v>
      </c>
      <c r="H4">
        <v>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C9B6-F0FF-4786-886A-DD231704FE8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8</v>
      </c>
    </row>
    <row r="2" spans="2:6" x14ac:dyDescent="0.35">
      <c r="B2" s="2" t="s">
        <v>1</v>
      </c>
      <c r="D2" s="2" t="s">
        <v>3</v>
      </c>
      <c r="F2" s="2" t="s">
        <v>9</v>
      </c>
    </row>
    <row r="3" spans="2:6" x14ac:dyDescent="0.35">
      <c r="B3" s="3" t="s">
        <v>11</v>
      </c>
      <c r="D3" s="2" t="s">
        <v>4</v>
      </c>
      <c r="F3" s="2" t="s">
        <v>10</v>
      </c>
    </row>
    <row r="4" spans="2:6" x14ac:dyDescent="0.35">
      <c r="B4" s="3" t="s">
        <v>14</v>
      </c>
      <c r="D4" s="2" t="s">
        <v>5</v>
      </c>
    </row>
    <row r="5" spans="2:6" x14ac:dyDescent="0.35">
      <c r="B5" s="3" t="s">
        <v>15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DashBoard</vt:lpstr>
      <vt:lpstr>Folders</vt:lpstr>
      <vt:lpstr>Files</vt:lpstr>
      <vt:lpstr>RelativeInclude</vt:lpstr>
      <vt:lpstr>Delete</vt:lpstr>
      <vt:lpstr>Conjunction</vt:lpstr>
      <vt:lpstr>Class</vt:lpstr>
      <vt:lpstr>Note</vt:lpstr>
      <vt:lpstr>Refactor</vt:lpstr>
      <vt:lpstr>IncludeGuard</vt:lpstr>
      <vt:lpstr>Sheet1</vt:lpstr>
      <vt:lpstr>Enum and Define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2026-05-08T06:25:47Z</dcterms:modified>
</cp:coreProperties>
</file>