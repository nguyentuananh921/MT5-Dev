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883562E2-D6E1-4100-8428-251770087858}" xr6:coauthVersionLast="47" xr6:coauthVersionMax="47" xr10:uidLastSave="{00000000-0000-0000-0000-000000000000}"/>
  <bookViews>
    <workbookView xWindow="-108" yWindow="-108" windowWidth="23256" windowHeight="12456" tabRatio="782" activeTab="8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Conjunction" sheetId="12" r:id="rId5"/>
    <sheet name="Class" sheetId="11" r:id="rId6"/>
    <sheet name="Note" sheetId="1" r:id="rId7"/>
    <sheet name="Refactor" sheetId="8" r:id="rId8"/>
    <sheet name="IncludeGuard" sheetId="14" r:id="rId9"/>
    <sheet name="Enum and Define" sheetId="6" r:id="rId10"/>
    <sheet name="Unique" sheetId="4" r:id="rId11"/>
  </sheets>
  <externalReferences>
    <externalReference r:id="rId12"/>
  </externalReferences>
  <definedNames>
    <definedName name="_xlnm._FilterDatabase" localSheetId="5" hidden="1">Class!$A$1:$G$63</definedName>
    <definedName name="_xlnm._FilterDatabase" localSheetId="2" hidden="1">Files!$A$1:$D$1</definedName>
    <definedName name="_xlnm._FilterDatabase" localSheetId="6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4" l="1"/>
  <c r="C10" i="14"/>
  <c r="H2" i="14" l="1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<sst xmlns="http://schemas.openxmlformats.org/spreadsheetml/2006/main" count="778" uniqueCount="372">
  <si>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</si>
  <si>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</si>
  <si>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</si>
  <si>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</si>
  <si>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</si>
  <si>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</si>
  <si>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</si>
  <si>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</si>
  <si>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</si>
  <si>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</si>
  <si>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</si>
  <si>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</si>
  <si>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</si>
  <si>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</si>
  <si>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</si>
  <si>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</si>
  <si>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</si>
  <si>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</si>
  <si>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</si>
  <si>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</si>
  <si>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</si>
  <si>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</si>
  <si>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</si>
  <si>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</si>
  <si>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</si>
  <si>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</si>
  <si>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</si>
  <si>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</si>
  <si>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</si>
  <si>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</si>
  <si>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</si>
  <si>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</si>
  <si>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</si>
  <si>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</si>
  <si>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</si>
  <si>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</si>
  <si>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</si>
  <si>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</si>
  <si>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</si>
  <si>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</si>
  <si>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</si>
  <si>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</si>
  <si>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</si>
  <si>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</si>
  <si>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</si>
  <si>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</si>
  <si>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</si>
  <si>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</si>
  <si>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</si>
  <si>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</si>
  <si>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</si>
  <si>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</si>
  <si>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</si>
  <si>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</si>
  <si>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</si>
  <si>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</si>
  <si>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</si>
  <si>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</si>
  <si>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</si>
  <si>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</si>
  <si>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</si>
  <si>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</si>
  <si>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</si>
  <si>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</si>
  <si>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</si>
  <si>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</si>
  <si>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</si>
  <si>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</si>
  <si>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</si>
  <si>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</si>
  <si>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</si>
  <si>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</si>
  <si>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</si>
  <si>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</si>
  <si>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</si>
  <si>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</si>
  <si>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</si>
  <si>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</si>
  <si>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</si>
  <si>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</si>
  <si>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</si>
  <si>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</si>
  <si>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</si>
  <si>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</si>
  <si>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</si>
  <si>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</si>
  <si>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</si>
  <si>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</si>
  <si>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</si>
  <si>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</si>
  <si>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</si>
  <si>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</si>
  <si>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</si>
  <si>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</si>
  <si>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</si>
  <si>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</si>
  <si>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</si>
  <si>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</si>
  <si>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</si>
  <si>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</si>
  <si>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</si>
  <si>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</si>
  <si>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</si>
  <si>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</si>
  <si>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</si>
  <si>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</si>
  <si>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</si>
  <si>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</si>
  <si>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</si>
  <si>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</si>
  <si>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</si>
  <si>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*.ex5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</si>
  <si>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</si>
  <si>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</si>
  <si>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</si>
  <si>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</si>
  <si>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</si>
  <si>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</si>
  <si>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</si>
  <si>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</si>
  <si>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Temp</t>
  </si>
  <si>
    <t>Include\Vendors\Anhnt\Library\3. MVC Table\20596 Refactor\Temp</t>
  </si>
  <si>
    <t>#include &lt;Vendors\Anhnt\Library\3. MVC Table\20596 Refactor\Temp\Base_EN.mqh&gt;</t>
  </si>
  <si>
    <t>#include &lt;Vendors\Anhnt\Library\3. MVC Table\20596 Refactor\Temp\Controls_EN.mqh&gt;</t>
  </si>
  <si>
    <t>#include &lt;Vendors\Anhnt\Library\3. MVC Table\20596 Refactor\Temp\Tables_EN.mqh&gt;</t>
  </si>
  <si>
    <t>Defines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</si>
  <si>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</si>
  <si>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</si>
  <si>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</si>
  <si>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</si>
  <si>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</si>
  <si>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</si>
  <si>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</si>
  <si>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</si>
  <si>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Collections</t>
  </si>
  <si>
    <t>TableCell.mqh</t>
  </si>
  <si>
    <t>Tables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</si>
  <si>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</si>
  <si>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</si>
  <si>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</si>
  <si>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</si>
  <si>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</si>
  <si>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</si>
  <si>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</si>
  <si>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</si>
  <si>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</si>
  <si>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</si>
  <si>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ColumnCaptionView.mqh</t>
  </si>
  <si>
    <t>BaseObj.mqh</t>
  </si>
  <si>
    <t>Button.mqh</t>
  </si>
  <si>
    <t>CheckBox.mqh</t>
  </si>
  <si>
    <t>Label.mqh</t>
  </si>
  <si>
    <t>RadioButton.mqh</t>
  </si>
  <si>
    <t>Container.mqh</t>
  </si>
  <si>
    <t>GroupBox.mqh</t>
  </si>
  <si>
    <t>Panel.mqh</t>
  </si>
  <si>
    <t>DELib.mqh</t>
  </si>
  <si>
    <t>CBaseObjExt</t>
  </si>
  <si>
    <t>CButton</t>
  </si>
  <si>
    <t>CLabel</t>
  </si>
  <si>
    <t>CCheckBox</t>
  </si>
  <si>
    <t>CContainer</t>
  </si>
  <si>
    <t>CRadioButton</t>
  </si>
  <si>
    <t>CGroupBox</t>
  </si>
  <si>
    <t>CPanel</t>
  </si>
  <si>
    <t>AutoRepeat.mqh</t>
  </si>
  <si>
    <t>#include &lt;Vendors\Anhnt\Library\3. MVC Table\20596 Refactor\Base\AutoRepeat.mqh&gt;</t>
  </si>
  <si>
    <t>#include &lt;Vendors\Anhnt\Library\3. MVC Table\20596 Refactor\Base\BaseObj.mqh&gt;</t>
  </si>
  <si>
    <t>Bound.mqh</t>
  </si>
  <si>
    <t>#include &lt;Vendors\Anhnt\Library\3. MVC Table\20596 Refactor\Base\Bound.mqh&gt;</t>
  </si>
  <si>
    <t>BoundedObj.mqh</t>
  </si>
  <si>
    <t>CBoundedObj</t>
  </si>
  <si>
    <t>#include &lt;Vendors\Anhnt\Library\3. MVC Table\20596 Refactor\Base\BoundedObj.mqh&gt;</t>
  </si>
  <si>
    <t>CanvasBase.mqh</t>
  </si>
  <si>
    <t>CCanvasBase</t>
  </si>
  <si>
    <t>#include &lt;Vendors\Anhnt\Library\3. MVC Table\20596 Refactor\Base\CanvasBase.mqh&gt;</t>
  </si>
  <si>
    <t>Color.mqh</t>
  </si>
  <si>
    <t>#include &lt;Vendors\Anhnt\Library\3. MVC Table\20596 Refactor\Base\Color.mqh&gt;</t>
  </si>
  <si>
    <t>ColorElement.mqh</t>
  </si>
  <si>
    <t>#include &lt;Vendors\Anhnt\Library\3. MVC Table\20596 Refactor\Base\ColorElement.mqh&gt;</t>
  </si>
  <si>
    <t>CommonManager.mqh</t>
  </si>
  <si>
    <t>#include &lt;Vendors\Anhnt\Library\3. MVC Table\20596 Refactor\Base\CommonManager.mqh&gt;</t>
  </si>
  <si>
    <t>Counter.mqh</t>
  </si>
  <si>
    <t>#include &lt;Vendors\Anhnt\Library\3. MVC Table\20596 Refactor\Base\Counter.mqh&gt;</t>
  </si>
  <si>
    <t>ImagePainter.mqh</t>
  </si>
  <si>
    <t>#include &lt;Vendors\Anhnt\Library\3. MVC Table\20596 Refactor\Base\ImagePainter.mqh&gt;</t>
  </si>
  <si>
    <t>ListElm.mqh</t>
  </si>
  <si>
    <t>#include &lt;Vendors\Anhnt\Library\3. MVC Table\20596 Refactor\Collections\ListElm.mqh&gt;</t>
  </si>
  <si>
    <t>#include &lt;Vendors\Anhnt\Library\3. MVC Table\20596 Refactor\Collections\ListObj.mqh&gt;</t>
  </si>
  <si>
    <t>#include &lt;Vendors\Anhnt\Library\3. MVC Table\20596 Refactor\Controls\Button.mqh&gt;</t>
  </si>
  <si>
    <t>ButtonArrowDown.mqh</t>
  </si>
  <si>
    <t>CButtonArrowDown</t>
  </si>
  <si>
    <t>#include &lt;Vendors\Anhnt\Library\3. MVC Table\20596 Refactor\Controls\ButtonArrowDown.mqh&gt;</t>
  </si>
  <si>
    <t>ButtonArrowLeft.mqh</t>
  </si>
  <si>
    <t>CButtonArrowLeft</t>
  </si>
  <si>
    <t>#include &lt;Vendors\Anhnt\Library\3. MVC Table\20596 Refactor\Controls\ButtonArrowLeft.mqh&gt;</t>
  </si>
  <si>
    <t>ButtonArrowRight.mqh</t>
  </si>
  <si>
    <t>CButtonArrowRight</t>
  </si>
  <si>
    <t>#include &lt;Vendors\Anhnt\Library\3. MVC Table\20596 Refactor\Controls\ButtonArrowRight.mqh&gt;</t>
  </si>
  <si>
    <t>ButtonArrowUp.mqh</t>
  </si>
  <si>
    <t>CButtonArrowUp</t>
  </si>
  <si>
    <t>#include &lt;Vendors\Anhnt\Library\3. MVC Table\20596 Refactor\Controls\ButtonArrowUp.mqh&gt;</t>
  </si>
  <si>
    <t>ButtonTriggered.mqh</t>
  </si>
  <si>
    <t>CButtonTriggered</t>
  </si>
  <si>
    <t>#include &lt;Vendors\Anhnt\Library\3. MVC Table\20596 Refactor\Controls\ButtonTriggered.mqh&gt;</t>
  </si>
  <si>
    <t>CaptionView.mqh</t>
  </si>
  <si>
    <t>CCaptionView</t>
  </si>
  <si>
    <t>#include &lt;Vendors\Anhnt\Library\3. MVC Table\20596 Refactor\Controls\CaptionView.mqh&gt;</t>
  </si>
  <si>
    <t>#include &lt;Vendors\Anhnt\Library\3. MVC Table\20596 Refactor\Controls\CheckBox.mqh&gt;</t>
  </si>
  <si>
    <t>CColumnCaptionView</t>
  </si>
  <si>
    <t>#include &lt;Vendors\Anhnt\Library\3. MVC Table\20596 Refactor\Controls\ColumnCaptionView.mqh&gt;</t>
  </si>
  <si>
    <t>#include &lt;Vendors\Anhnt\Library\3. MVC Table\20596 Refactor\Controls\Container.mqh&gt;</t>
  </si>
  <si>
    <t>ElementBase.mqh</t>
  </si>
  <si>
    <t>CElementBase</t>
  </si>
  <si>
    <t>#include &lt;Vendors\Anhnt\Library\3. MVC Table\20596 Refactor\Controls\ElementBase.mqh&gt;</t>
  </si>
  <si>
    <t>#include &lt;Vendors\Anhnt\Library\3. MVC Table\20596 Refactor\Controls\GroupBox.mqh&gt;</t>
  </si>
  <si>
    <t>#include &lt;Vendors\Anhnt\Library\3. MVC Table\20596 Refactor\Controls\Label.mqh&gt;</t>
  </si>
  <si>
    <t>#include &lt;Vendors\Anhnt\Library\3. MVC Table\20596 Refactor\Controls\Panel.mqh&gt;</t>
  </si>
  <si>
    <t>#include &lt;Vendors\Anhnt\Library\3. MVC Table\20596 Refactor\Controls\RadioButton.mqh&gt;</t>
  </si>
  <si>
    <t>RowCaptionView.mqh</t>
  </si>
  <si>
    <t>CRowCaptionView</t>
  </si>
  <si>
    <t>#include &lt;Vendors\Anhnt\Library\3. MVC Table\20596 Refactor\Controls\RowCaptionView.mqh&gt;</t>
  </si>
  <si>
    <t>ScrollBarH.mqh</t>
  </si>
  <si>
    <t>CScrollBarH</t>
  </si>
  <si>
    <t>#include &lt;Vendors\Anhnt\Library\3. MVC Table\20596 Refactor\Controls\ScrollBarH.mqh&gt;</t>
  </si>
  <si>
    <t>ScrollBarThumbH.mqh</t>
  </si>
  <si>
    <t>CScrollBarThumbH</t>
  </si>
  <si>
    <t>#include &lt;Vendors\Anhnt\Library\3. MVC Table\20596 Refactor\Controls\ScrollBarThumbH.mqh&gt;</t>
  </si>
  <si>
    <t>ScrollBarThumbV.mqh</t>
  </si>
  <si>
    <t>CScrollBarThumbV</t>
  </si>
  <si>
    <t>#include &lt;Vendors\Anhnt\Library\3. MVC Table\20596 Refactor\Controls\ScrollBarThumbV.mqh&gt;</t>
  </si>
  <si>
    <t>ScrollBarV.mqh</t>
  </si>
  <si>
    <t>CScrollBarV</t>
  </si>
  <si>
    <t>#include &lt;Vendors\Anhnt\Library\3. MVC Table\20596 Refactor\Controls\ScrollBarV.mqh&gt;</t>
  </si>
  <si>
    <t>TableCellView.mqh</t>
  </si>
  <si>
    <t>CTableCellView</t>
  </si>
  <si>
    <t>#include &lt;Vendors\Anhnt\Library\3. MVC Table\20596 Refactor\Controls\TableCellView.mqh&gt;</t>
  </si>
  <si>
    <t>TableControl.mqh</t>
  </si>
  <si>
    <t>CTableControl</t>
  </si>
  <si>
    <t>#include &lt;Vendors\Anhnt\Library\3. MVC Table\20596 Refactor\Controls\TableControl.mqh&gt;</t>
  </si>
  <si>
    <t>TableHeaderView.mqh</t>
  </si>
  <si>
    <t>CTableHeaderView</t>
  </si>
  <si>
    <t>#include &lt;Vendors\Anhnt\Library\3. MVC Table\20596 Refactor\Controls\TableHeaderView.mqh&gt;</t>
  </si>
  <si>
    <t>TableRowsHeaderView.mqh</t>
  </si>
  <si>
    <t>CTableRowsHeaderView</t>
  </si>
  <si>
    <t>#include &lt;Vendors\Anhnt\Library\3. MVC Table\20596 Refactor\Controls\TableRowsHeaderView.mqh&gt;</t>
  </si>
  <si>
    <t>TableRowView.mqh</t>
  </si>
  <si>
    <t>CTableRowView</t>
  </si>
  <si>
    <t>#include &lt;Vendors\Anhnt\Library\3. MVC Table\20596 Refactor\Controls\TableRowView.mqh&gt;</t>
  </si>
  <si>
    <t>TableView.mqh</t>
  </si>
  <si>
    <t>CTableView</t>
  </si>
  <si>
    <t>#include &lt;Vendors\Anhnt\Library\3. MVC Table\20596 Refactor\Controls\TableView.mqh&gt;</t>
  </si>
  <si>
    <t>VisualHint.mqh</t>
  </si>
  <si>
    <t>CVisualHint</t>
  </si>
  <si>
    <t>#include &lt;Vendors\Anhnt\Library\3. MVC Table\20596 Refactor\Controls\VisualHint.mqh&gt;</t>
  </si>
  <si>
    <t>BaseDefines.mqh</t>
  </si>
  <si>
    <t>#include &lt;Vendors\Anhnt\Library\3. MVC Table\20596 Refactor\Defines\BaseDefines.mqh&gt;</t>
  </si>
  <si>
    <t>BaseEnums.mqh</t>
  </si>
  <si>
    <t>#include &lt;Vendors\Anhnt\Library\3. MVC Table\20596 Refactor\Defines\BaseEnums.mqh&gt;</t>
  </si>
  <si>
    <t>ControlsDefines.mqh</t>
  </si>
  <si>
    <t>#include &lt;Vendors\Anhnt\Library\3. MVC Table\20596 Refactor\Defines\ControlsDefines.mqh&gt;</t>
  </si>
  <si>
    <t>ControlsEnums.mqh</t>
  </si>
  <si>
    <t>#include &lt;Vendors\Anhnt\Library\3. MVC Table\20596 Refactor\Defines\ControlsEnums.mqh&gt;</t>
  </si>
  <si>
    <t>#include &lt;Vendors\Anhnt\Library\3. MVC Table\20596 Refactor\Defines\TableDefines.mqh&gt;</t>
  </si>
  <si>
    <t>#include &lt;Vendors\Anhnt\Library\3. MVC Table\20596 Refactor\Defines\TableEnums.mqh&gt;</t>
  </si>
  <si>
    <t>DataListCreator.mqh</t>
  </si>
  <si>
    <t>#include &lt;Vendors\Anhnt\Library\3. MVC Table\20596 Refactor\Services\DataListCreator.mqh&gt;</t>
  </si>
  <si>
    <t>#include &lt;Vendors\Anhnt\Library\3. MVC Table\20596 Refactor\Services\DELib.mqh&gt;</t>
  </si>
  <si>
    <t>ColumnCaption.mqh</t>
  </si>
  <si>
    <t>#include &lt;Vendors\Anhnt\Library\3. MVC Table\20596 Refactor\Tables\ColumnCaption.mqh&gt;</t>
  </si>
  <si>
    <t>MqlParamObj.mqh</t>
  </si>
  <si>
    <t>#include &lt;Vendors\Anhnt\Library\3. MVC Table\20596 Refactor\Tables\MqlParamObj.mqh&gt;</t>
  </si>
  <si>
    <t>Table.mqh</t>
  </si>
  <si>
    <t>#include &lt;Vendors\Anhnt\Library\3. MVC Table\20596 Refactor\Tables\Table.mqh&gt;</t>
  </si>
  <si>
    <t>TableByParam.mqh</t>
  </si>
  <si>
    <t>#include &lt;Vendors\Anhnt\Library\3. MVC Table\20596 Refactor\Tables\TableByParam.mqh&gt;</t>
  </si>
  <si>
    <t>#include &lt;Vendors\Anhnt\Library\3. MVC Table\20596 Refactor\Tables\TableCell.mqh&gt;</t>
  </si>
  <si>
    <t>TableHeader.mqh</t>
  </si>
  <si>
    <t>#include &lt;Vendors\Anhnt\Library\3. MVC Table\20596 Refactor\Tables\TableHeader.mqh&gt;</t>
  </si>
  <si>
    <t>TableModel.mqh</t>
  </si>
  <si>
    <t>#include &lt;Vendors\Anhnt\Library\3. MVC Table\20596 Refactor\Tables\TableModel.mqh&gt;</t>
  </si>
  <si>
    <t>#include &lt;Vendors\Anhnt\Library\3. MVC Table\20596 Refactor\Tables\TableRow.mqh&gt;</t>
  </si>
  <si>
    <t>#include &lt;Vendors\Anhnt\Library\3. MVC Table\20596 Refactor\Temp\header.mqh&gt;</t>
  </si>
  <si>
    <t>Note TypeDescription.mqh</t>
  </si>
  <si>
    <t>#include &lt;Vendors\Anhnt\Library\3. MVC Table\20596 Refactor\Temp\Note TypeDescription.mqh&gt;</t>
  </si>
  <si>
    <t>Include\Vendors\Anhnt\Library\3. MVC Table\20596 Refactor\Base</t>
  </si>
  <si>
    <t>Include\Vendors\Anhnt\Library\3. MVC Table\20596 Refactor\Collections</t>
  </si>
  <si>
    <t>Include\Vendors\Anhnt\Library\3. MVC Table\20596 Refactor\Controls</t>
  </si>
  <si>
    <t>Include\Vendors\Anhnt\Library\3. MVC Table\20596 Refactor\Defines</t>
  </si>
  <si>
    <t>Include\Vendors\Anhnt\Library\3. MVC Table\20596 Refactor\Services</t>
  </si>
  <si>
    <t>Include\Vendors\Anhnt\Library\3. MVC Table\20596 Refactor\Tables</t>
  </si>
  <si>
    <t>FunctionLib.mqh</t>
  </si>
  <si>
    <t>C:\Users\nguye\AppData\Roaming\MetaQuotes\Terminal\D0E8209F77C8CF37AD8BF550E51FF075\MQL5\Include\Vendors\Anhnt\Library\3. MVC Table\20596 Refactor</t>
  </si>
  <si>
    <t>CAutoRepeat</t>
  </si>
  <si>
    <t>CBaseObj</t>
  </si>
  <si>
    <t>#include "..\Base\AutoRepeat.mqh"</t>
  </si>
  <si>
    <t>CObject</t>
  </si>
  <si>
    <t>#include "..\Base\BaseObj.mqh"</t>
  </si>
  <si>
    <t>CBound</t>
  </si>
  <si>
    <t>#include "..\Base\Bound.mqh"</t>
  </si>
  <si>
    <t>#include "..\Base\BoundedObj.mqh"</t>
  </si>
  <si>
    <t>#include "..\Base\CanvasBase.mqh"</t>
  </si>
  <si>
    <t>CColor</t>
  </si>
  <si>
    <t>#include "..\Base\Color.mqh"</t>
  </si>
  <si>
    <t>CColorElement</t>
  </si>
  <si>
    <t>#include "..\Base\ColorElement.mqh"</t>
  </si>
  <si>
    <t>CCommonManager</t>
  </si>
  <si>
    <t>#include "..\Base\CommonManager.mqh"</t>
  </si>
  <si>
    <t>CCounter</t>
  </si>
  <si>
    <t>#include "..\Base\Counter.mqh"</t>
  </si>
  <si>
    <t>CImagePainter</t>
  </si>
  <si>
    <t>#include "..\Base\ImagePainter.mqh"</t>
  </si>
  <si>
    <t>CListElm</t>
  </si>
  <si>
    <t>CList</t>
  </si>
  <si>
    <t>#include "..\Collections\ListElm.mqh"</t>
  </si>
  <si>
    <t>CListObj</t>
  </si>
  <si>
    <t>Controls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</si>
  <si>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</si>
  <si>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</si>
  <si>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</si>
  <si>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</si>
  <si>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Services</t>
  </si>
  <si>
    <t>DataListCreator</t>
  </si>
  <si>
    <t>#include &lt;Vendors\Anhnt\Library\3. MVC Table\20596 Refactor\Services\FunctionLib.mqh&gt;</t>
  </si>
  <si>
    <t>CColumnCaption</t>
  </si>
  <si>
    <t>#include "..\Tables\ColumnCaption.mqh"</t>
  </si>
  <si>
    <t>CMqlParamObj</t>
  </si>
  <si>
    <t>#include "..\Tables\MqlParamObj.mqh"</t>
  </si>
  <si>
    <t>CTable</t>
  </si>
  <si>
    <t>#include "..\Tables\Table.mqh"</t>
  </si>
  <si>
    <t>CTableByParam</t>
  </si>
  <si>
    <t>#include "..\Tables\TableByParam.mqh"</t>
  </si>
  <si>
    <t>CTableCell</t>
  </si>
  <si>
    <t>CTableHeader</t>
  </si>
  <si>
    <t>#include "..\Tables\TableHeader.mqh"</t>
  </si>
  <si>
    <t>CTableModel</t>
  </si>
  <si>
    <t>#include "..\Tables\TableModel.mqh"</t>
  </si>
  <si>
    <t>CTableRow</t>
  </si>
  <si>
    <t>#include "..\Temp\Note TypeDescription.mqh"</t>
  </si>
  <si>
    <t>C:\Users\nguye\AppData\Roaming\MetaQuotes\Terminal\D0E8209F77C8CF37AD8BF550E51FF075\MQL5\Include\Vendors\Anhnt\Library\3. MVC Table\20596 Refactor\Services\DELib.mqh</t>
  </si>
  <si>
    <t>#include "..\Controls\Button.mqh"</t>
  </si>
  <si>
    <t>#include "..\Controls\ButtonArrowDown.mqh"</t>
  </si>
  <si>
    <t>#include "..\Controls\ButtonArrowLeft.mqh"</t>
  </si>
  <si>
    <t>#include "..\Controls\ButtonArrowRight.mqh"</t>
  </si>
  <si>
    <t>#include "..\Controls\ButtonArrowUp.mqh"</t>
  </si>
  <si>
    <t>#include "..\Controls\ButtonTriggered.mqh"</t>
  </si>
  <si>
    <t>#include "..\Controls\CaptionView.mqh"</t>
  </si>
  <si>
    <t>#include "..\Controls\CheckBox.mqh"</t>
  </si>
  <si>
    <t>#include "..\Controls\ColumnCaptionView.mqh"</t>
  </si>
  <si>
    <t>#include "..\Controls\Container.mqh"</t>
  </si>
  <si>
    <t>#include "..\Controls\ElementBase.mqh"</t>
  </si>
  <si>
    <t>#include "..\Controls\GroupBox.mqh"</t>
  </si>
  <si>
    <t>#include "..\Controls\Label.mqh"</t>
  </si>
  <si>
    <t>#include "..\Controls\Panel.mqh"</t>
  </si>
  <si>
    <t>#include "..\Controls\RadioButton.mqh"</t>
  </si>
  <si>
    <t>#include "..\Controls\RowCaptionView.mqh"</t>
  </si>
  <si>
    <t>#include "..\Controls\ScrollBarH.mqh"</t>
  </si>
  <si>
    <t>#include "..\Controls\ScrollBarThumbH.mqh"</t>
  </si>
  <si>
    <t>#include "..\Controls\ScrollBarThumbV.mqh"</t>
  </si>
  <si>
    <t>#include "..\Controls\ScrollBarV.mqh"</t>
  </si>
  <si>
    <t>#include "..\Controls\TableCellView.mqh"</t>
  </si>
  <si>
    <t>#include "..\Controls\TableControl.mqh"</t>
  </si>
  <si>
    <t>#include "..\Controls\TableHeaderView.mqh"</t>
  </si>
  <si>
    <t>#include "..\Controls\TableRowsHeaderView.mqh"</t>
  </si>
  <si>
    <t>#include "..\Controls\TableRowView.mqh"</t>
  </si>
  <si>
    <t>#include "..\Controls\TableView.mqh"</t>
  </si>
  <si>
    <t>#include "..\Controls\VisualHint.mqh"</t>
  </si>
  <si>
    <t>#include "DataListCreator.mqh"</t>
  </si>
  <si>
    <t>#include "FunctionLib.mqh"</t>
  </si>
  <si>
    <t>ModifyElementBase.mqh</t>
  </si>
  <si>
    <t>#include "..\Temp\ModifyElementBase.mqh"</t>
  </si>
  <si>
    <t>#include &lt;Vendors\Anhnt\Library\3. MVC Table\20596 Refactor\Temp\ModifyElementBase.mqh&gt;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</si>
</sst>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251791</xdr:colOff>
      <xdr:row>1</xdr:row>
      <xdr:rowOff>19878</xdr:rowOff>
    </xdr:from>
    <xdr:to>
      <xdr:col>12</xdr:col>
      <xdr:colOff>308941</xdr:colOff>
      <xdr:row>2</xdr:row>
      <xdr:rowOff>117033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8216348" y="205408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490330</xdr:colOff>
      <xdr:row>2</xdr:row>
      <xdr:rowOff>285997</xdr:rowOff>
    </xdr:from>
    <xdr:to>
      <xdr:col>8</xdr:col>
      <xdr:colOff>547480</xdr:colOff>
      <xdr:row>3</xdr:row>
      <xdr:rowOff>16067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253065</xdr:colOff>
      <xdr:row>2</xdr:row>
      <xdr:rowOff>271669</xdr:rowOff>
    </xdr:from>
    <xdr:to>
      <xdr:col>12</xdr:col>
      <xdr:colOff>310215</xdr:colOff>
      <xdr:row>3</xdr:row>
      <xdr:rowOff>46382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217622" y="642730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477078</xdr:colOff>
      <xdr:row>4</xdr:row>
      <xdr:rowOff>94068</xdr:rowOff>
    </xdr:from>
    <xdr:to>
      <xdr:col>8</xdr:col>
      <xdr:colOff>534228</xdr:colOff>
      <xdr:row>6</xdr:row>
      <xdr:rowOff>6242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03235" y="1200625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272943</xdr:colOff>
      <xdr:row>4</xdr:row>
      <xdr:rowOff>66261</xdr:rowOff>
    </xdr:from>
    <xdr:to>
      <xdr:col>12</xdr:col>
      <xdr:colOff>330093</xdr:colOff>
      <xdr:row>6</xdr:row>
      <xdr:rowOff>19879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237500" y="1172818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271671</xdr:colOff>
      <xdr:row>7</xdr:row>
      <xdr:rowOff>33131</xdr:rowOff>
    </xdr:from>
    <xdr:to>
      <xdr:col>12</xdr:col>
      <xdr:colOff>328821</xdr:colOff>
      <xdr:row>8</xdr:row>
      <xdr:rowOff>130286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8236228" y="1696279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5</xdr:col>
      <xdr:colOff>450574</xdr:colOff>
      <xdr:row>9</xdr:row>
      <xdr:rowOff>107093</xdr:rowOff>
    </xdr:from>
    <xdr:to>
      <xdr:col>8</xdr:col>
      <xdr:colOff>507724</xdr:colOff>
      <xdr:row>9</xdr:row>
      <xdr:rowOff>387128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5976731" y="2141302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9</xdr:col>
      <xdr:colOff>266317</xdr:colOff>
      <xdr:row>9</xdr:row>
      <xdr:rowOff>79513</xdr:rowOff>
    </xdr:from>
    <xdr:to>
      <xdr:col>12</xdr:col>
      <xdr:colOff>323467</xdr:colOff>
      <xdr:row>9</xdr:row>
      <xdr:rowOff>404191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8230874" y="211372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483704</xdr:colOff>
      <xdr:row>1</xdr:row>
      <xdr:rowOff>34207</xdr:rowOff>
    </xdr:from>
    <xdr:to>
      <xdr:col>8</xdr:col>
      <xdr:colOff>540854</xdr:colOff>
      <xdr:row>2</xdr:row>
      <xdr:rowOff>128711</xdr:rowOff>
    </xdr:to>
    <xdr:sp macro="[0]!DeleteExcludeFiles_Recursive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6009861" y="219737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Exclude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463825</xdr:colOff>
      <xdr:row>10</xdr:row>
      <xdr:rowOff>7702</xdr:rowOff>
    </xdr:from>
    <xdr:to>
      <xdr:col>8</xdr:col>
      <xdr:colOff>520975</xdr:colOff>
      <xdr:row>11</xdr:row>
      <xdr:rowOff>102206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5989982" y="2770780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292821</xdr:colOff>
      <xdr:row>9</xdr:row>
      <xdr:rowOff>722243</xdr:rowOff>
    </xdr:from>
    <xdr:to>
      <xdr:col>12</xdr:col>
      <xdr:colOff>349971</xdr:colOff>
      <xdr:row>11</xdr:row>
      <xdr:rowOff>132521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8257378" y="275645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2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132</v>
      </c>
    </row>
    <row r="3" spans="2:4" ht="43.2" x14ac:dyDescent="0.3">
      <c r="B3" s="12">
        <v>1</v>
      </c>
      <c r="C3" s="12" t="s">
        <v>42</v>
      </c>
      <c r="D3" s="10" t="s">
        <v>292</v>
      </c>
    </row>
    <row r="5" spans="2:4" x14ac:dyDescent="0.3">
      <c r="B5" s="12">
        <v>2</v>
      </c>
      <c r="C5" s="12" t="s">
        <v>110</v>
      </c>
      <c r="D5" s="13" t="s">
        <v>111</v>
      </c>
    </row>
    <row r="6" spans="2:4" x14ac:dyDescent="0.3">
      <c r="C6" s="12" t="s">
        <v>109</v>
      </c>
      <c r="D6" s="12" t="s">
        <v>112</v>
      </c>
    </row>
    <row r="10" spans="2:4" ht="57.6" x14ac:dyDescent="0.3">
      <c r="B10" s="12">
        <v>3</v>
      </c>
      <c r="C10" s="12" t="s">
        <v>44</v>
      </c>
      <c r="D10" s="10" t="s">
        <v>339</v>
      </c>
    </row>
    <row r="12" spans="2:4" x14ac:dyDescent="0.3">
      <c r="B12" s="12">
        <v>4</v>
      </c>
      <c r="C12" s="12" t="s">
        <v>41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"/>
  <sheetViews>
    <sheetView workbookViewId="0">
      <selection activeCell="B5" sqref="B5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100</v>
      </c>
      <c r="C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61"/>
  <sheetViews>
    <sheetView workbookViewId="0">
      <selection activeCell="D6" sqref="D6"/>
    </sheetView>
  </sheetViews>
  <sheetFormatPr defaultRowHeight="14.4" x14ac:dyDescent="0.3"/>
  <cols>
    <col min="1" max="1" width="3.88671875" bestFit="1" customWidth="1"/>
    <col min="2" max="2" width="57.66406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285</v>
      </c>
      <c r="C2" t="s">
        <v>165</v>
      </c>
      <c r="D2" t="s">
        <v>166</v>
      </c>
    </row>
    <row r="3" spans="1:4" x14ac:dyDescent="0.3">
      <c r="A3">
        <v>2</v>
      </c>
      <c r="B3" t="s">
        <v>285</v>
      </c>
      <c r="C3" t="s">
        <v>148</v>
      </c>
      <c r="D3" t="s">
        <v>167</v>
      </c>
    </row>
    <row r="4" spans="1:4" x14ac:dyDescent="0.3">
      <c r="A4">
        <v>3</v>
      </c>
      <c r="B4" t="s">
        <v>285</v>
      </c>
      <c r="C4" t="s">
        <v>168</v>
      </c>
      <c r="D4" t="s">
        <v>169</v>
      </c>
    </row>
    <row r="5" spans="1:4" x14ac:dyDescent="0.3">
      <c r="A5">
        <v>4</v>
      </c>
      <c r="B5" t="s">
        <v>285</v>
      </c>
      <c r="C5" t="s">
        <v>170</v>
      </c>
      <c r="D5" t="s">
        <v>172</v>
      </c>
    </row>
    <row r="6" spans="1:4" x14ac:dyDescent="0.3">
      <c r="A6">
        <v>5</v>
      </c>
      <c r="B6" t="s">
        <v>285</v>
      </c>
      <c r="C6" t="s">
        <v>173</v>
      </c>
      <c r="D6" t="s">
        <v>175</v>
      </c>
    </row>
    <row r="7" spans="1:4" x14ac:dyDescent="0.3">
      <c r="A7">
        <v>6</v>
      </c>
      <c r="B7" t="s">
        <v>285</v>
      </c>
      <c r="C7" t="s">
        <v>176</v>
      </c>
      <c r="D7" t="s">
        <v>177</v>
      </c>
    </row>
    <row r="8" spans="1:4" x14ac:dyDescent="0.3">
      <c r="A8">
        <v>7</v>
      </c>
      <c r="B8" t="s">
        <v>285</v>
      </c>
      <c r="C8" t="s">
        <v>178</v>
      </c>
      <c r="D8" t="s">
        <v>179</v>
      </c>
    </row>
    <row r="9" spans="1:4" x14ac:dyDescent="0.3">
      <c r="A9">
        <v>8</v>
      </c>
      <c r="B9" t="s">
        <v>285</v>
      </c>
      <c r="C9" t="s">
        <v>180</v>
      </c>
      <c r="D9" t="s">
        <v>181</v>
      </c>
    </row>
    <row r="10" spans="1:4" x14ac:dyDescent="0.3">
      <c r="A10">
        <v>9</v>
      </c>
      <c r="B10" t="s">
        <v>285</v>
      </c>
      <c r="C10" t="s">
        <v>182</v>
      </c>
      <c r="D10" t="s">
        <v>183</v>
      </c>
    </row>
    <row r="11" spans="1:4" x14ac:dyDescent="0.3">
      <c r="A11">
        <v>10</v>
      </c>
      <c r="B11" t="s">
        <v>285</v>
      </c>
      <c r="C11" t="s">
        <v>184</v>
      </c>
      <c r="D11" t="s">
        <v>185</v>
      </c>
    </row>
    <row r="12" spans="1:4" x14ac:dyDescent="0.3">
      <c r="A12">
        <v>11</v>
      </c>
      <c r="B12" t="s">
        <v>286</v>
      </c>
      <c r="C12" t="s">
        <v>186</v>
      </c>
      <c r="D12" t="s">
        <v>187</v>
      </c>
    </row>
    <row r="13" spans="1:4" x14ac:dyDescent="0.3">
      <c r="A13">
        <v>12</v>
      </c>
      <c r="B13" t="s">
        <v>286</v>
      </c>
      <c r="C13" t="s">
        <v>133</v>
      </c>
      <c r="D13" t="s">
        <v>188</v>
      </c>
    </row>
    <row r="14" spans="1:4" x14ac:dyDescent="0.3">
      <c r="A14">
        <v>13</v>
      </c>
      <c r="B14" t="s">
        <v>287</v>
      </c>
      <c r="C14" t="s">
        <v>149</v>
      </c>
      <c r="D14" t="s">
        <v>189</v>
      </c>
    </row>
    <row r="15" spans="1:4" x14ac:dyDescent="0.3">
      <c r="A15">
        <v>14</v>
      </c>
      <c r="B15" t="s">
        <v>287</v>
      </c>
      <c r="C15" t="s">
        <v>190</v>
      </c>
      <c r="D15" t="s">
        <v>192</v>
      </c>
    </row>
    <row r="16" spans="1:4" x14ac:dyDescent="0.3">
      <c r="A16">
        <v>15</v>
      </c>
      <c r="B16" t="s">
        <v>287</v>
      </c>
      <c r="C16" t="s">
        <v>193</v>
      </c>
      <c r="D16" t="s">
        <v>195</v>
      </c>
    </row>
    <row r="17" spans="1:4" x14ac:dyDescent="0.3">
      <c r="A17">
        <v>16</v>
      </c>
      <c r="B17" t="s">
        <v>287</v>
      </c>
      <c r="C17" t="s">
        <v>196</v>
      </c>
      <c r="D17" t="s">
        <v>198</v>
      </c>
    </row>
    <row r="18" spans="1:4" x14ac:dyDescent="0.3">
      <c r="A18">
        <v>17</v>
      </c>
      <c r="B18" t="s">
        <v>287</v>
      </c>
      <c r="C18" t="s">
        <v>199</v>
      </c>
      <c r="D18" t="s">
        <v>201</v>
      </c>
    </row>
    <row r="19" spans="1:4" x14ac:dyDescent="0.3">
      <c r="A19">
        <v>18</v>
      </c>
      <c r="B19" t="s">
        <v>287</v>
      </c>
      <c r="C19" t="s">
        <v>202</v>
      </c>
      <c r="D19" t="s">
        <v>204</v>
      </c>
    </row>
    <row r="20" spans="1:4" x14ac:dyDescent="0.3">
      <c r="A20">
        <v>19</v>
      </c>
      <c r="B20" t="s">
        <v>287</v>
      </c>
      <c r="C20" t="s">
        <v>205</v>
      </c>
      <c r="D20" t="s">
        <v>207</v>
      </c>
    </row>
    <row r="21" spans="1:4" x14ac:dyDescent="0.3">
      <c r="A21">
        <v>20</v>
      </c>
      <c r="B21" t="s">
        <v>287</v>
      </c>
      <c r="C21" t="s">
        <v>150</v>
      </c>
      <c r="D21" t="s">
        <v>208</v>
      </c>
    </row>
    <row r="22" spans="1:4" x14ac:dyDescent="0.3">
      <c r="A22">
        <v>21</v>
      </c>
      <c r="B22" t="s">
        <v>287</v>
      </c>
      <c r="C22" t="s">
        <v>147</v>
      </c>
      <c r="D22" t="s">
        <v>210</v>
      </c>
    </row>
    <row r="23" spans="1:4" x14ac:dyDescent="0.3">
      <c r="A23">
        <v>22</v>
      </c>
      <c r="B23" t="s">
        <v>287</v>
      </c>
      <c r="C23" t="s">
        <v>153</v>
      </c>
      <c r="D23" t="s">
        <v>211</v>
      </c>
    </row>
    <row r="24" spans="1:4" x14ac:dyDescent="0.3">
      <c r="A24">
        <v>23</v>
      </c>
      <c r="B24" t="s">
        <v>287</v>
      </c>
      <c r="C24" t="s">
        <v>212</v>
      </c>
      <c r="D24" t="s">
        <v>214</v>
      </c>
    </row>
    <row r="25" spans="1:4" x14ac:dyDescent="0.3">
      <c r="A25">
        <v>24</v>
      </c>
      <c r="B25" t="s">
        <v>287</v>
      </c>
      <c r="C25" t="s">
        <v>154</v>
      </c>
      <c r="D25" t="s">
        <v>215</v>
      </c>
    </row>
    <row r="26" spans="1:4" x14ac:dyDescent="0.3">
      <c r="A26">
        <v>25</v>
      </c>
      <c r="B26" t="s">
        <v>287</v>
      </c>
      <c r="C26" t="s">
        <v>151</v>
      </c>
      <c r="D26" t="s">
        <v>216</v>
      </c>
    </row>
    <row r="27" spans="1:4" x14ac:dyDescent="0.3">
      <c r="A27">
        <v>26</v>
      </c>
      <c r="B27" t="s">
        <v>287</v>
      </c>
      <c r="C27" t="s">
        <v>155</v>
      </c>
      <c r="D27" t="s">
        <v>217</v>
      </c>
    </row>
    <row r="28" spans="1:4" x14ac:dyDescent="0.3">
      <c r="A28">
        <v>27</v>
      </c>
      <c r="B28" t="s">
        <v>287</v>
      </c>
      <c r="C28" t="s">
        <v>152</v>
      </c>
      <c r="D28" t="s">
        <v>218</v>
      </c>
    </row>
    <row r="29" spans="1:4" x14ac:dyDescent="0.3">
      <c r="A29">
        <v>28</v>
      </c>
      <c r="B29" t="s">
        <v>287</v>
      </c>
      <c r="C29" t="s">
        <v>219</v>
      </c>
      <c r="D29" t="s">
        <v>221</v>
      </c>
    </row>
    <row r="30" spans="1:4" x14ac:dyDescent="0.3">
      <c r="A30">
        <v>29</v>
      </c>
      <c r="B30" t="s">
        <v>287</v>
      </c>
      <c r="C30" t="s">
        <v>222</v>
      </c>
      <c r="D30" t="s">
        <v>224</v>
      </c>
    </row>
    <row r="31" spans="1:4" x14ac:dyDescent="0.3">
      <c r="A31">
        <v>30</v>
      </c>
      <c r="B31" t="s">
        <v>287</v>
      </c>
      <c r="C31" t="s">
        <v>225</v>
      </c>
      <c r="D31" t="s">
        <v>227</v>
      </c>
    </row>
    <row r="32" spans="1:4" x14ac:dyDescent="0.3">
      <c r="A32">
        <v>31</v>
      </c>
      <c r="B32" t="s">
        <v>287</v>
      </c>
      <c r="C32" t="s">
        <v>228</v>
      </c>
      <c r="D32" t="s">
        <v>230</v>
      </c>
    </row>
    <row r="33" spans="1:4" x14ac:dyDescent="0.3">
      <c r="A33">
        <v>32</v>
      </c>
      <c r="B33" t="s">
        <v>287</v>
      </c>
      <c r="C33" t="s">
        <v>231</v>
      </c>
      <c r="D33" t="s">
        <v>233</v>
      </c>
    </row>
    <row r="34" spans="1:4" x14ac:dyDescent="0.3">
      <c r="A34">
        <v>33</v>
      </c>
      <c r="B34" t="s">
        <v>287</v>
      </c>
      <c r="C34" t="s">
        <v>234</v>
      </c>
      <c r="D34" t="s">
        <v>236</v>
      </c>
    </row>
    <row r="35" spans="1:4" x14ac:dyDescent="0.3">
      <c r="A35">
        <v>34</v>
      </c>
      <c r="B35" t="s">
        <v>287</v>
      </c>
      <c r="C35" t="s">
        <v>237</v>
      </c>
      <c r="D35" t="s">
        <v>239</v>
      </c>
    </row>
    <row r="36" spans="1:4" x14ac:dyDescent="0.3">
      <c r="A36">
        <v>35</v>
      </c>
      <c r="B36" t="s">
        <v>287</v>
      </c>
      <c r="C36" t="s">
        <v>240</v>
      </c>
      <c r="D36" t="s">
        <v>242</v>
      </c>
    </row>
    <row r="37" spans="1:4" x14ac:dyDescent="0.3">
      <c r="A37">
        <v>36</v>
      </c>
      <c r="B37" t="s">
        <v>287</v>
      </c>
      <c r="C37" t="s">
        <v>243</v>
      </c>
      <c r="D37" t="s">
        <v>245</v>
      </c>
    </row>
    <row r="38" spans="1:4" x14ac:dyDescent="0.3">
      <c r="A38">
        <v>37</v>
      </c>
      <c r="B38" t="s">
        <v>287</v>
      </c>
      <c r="C38" t="s">
        <v>246</v>
      </c>
      <c r="D38" t="s">
        <v>248</v>
      </c>
    </row>
    <row r="39" spans="1:4" x14ac:dyDescent="0.3">
      <c r="A39">
        <v>38</v>
      </c>
      <c r="B39" t="s">
        <v>287</v>
      </c>
      <c r="C39" t="s">
        <v>249</v>
      </c>
      <c r="D39" t="s">
        <v>251</v>
      </c>
    </row>
    <row r="40" spans="1:4" x14ac:dyDescent="0.3">
      <c r="A40">
        <v>39</v>
      </c>
      <c r="B40" t="s">
        <v>287</v>
      </c>
      <c r="C40" t="s">
        <v>252</v>
      </c>
      <c r="D40" t="s">
        <v>254</v>
      </c>
    </row>
    <row r="41" spans="1:4" x14ac:dyDescent="0.3">
      <c r="A41">
        <v>40</v>
      </c>
      <c r="B41" t="s">
        <v>288</v>
      </c>
      <c r="C41" t="s">
        <v>255</v>
      </c>
      <c r="D41" t="s">
        <v>256</v>
      </c>
    </row>
    <row r="42" spans="1:4" x14ac:dyDescent="0.3">
      <c r="A42">
        <v>41</v>
      </c>
      <c r="B42" t="s">
        <v>288</v>
      </c>
      <c r="C42" t="s">
        <v>257</v>
      </c>
      <c r="D42" t="s">
        <v>258</v>
      </c>
    </row>
    <row r="43" spans="1:4" x14ac:dyDescent="0.3">
      <c r="A43">
        <v>42</v>
      </c>
      <c r="B43" t="s">
        <v>288</v>
      </c>
      <c r="C43" t="s">
        <v>259</v>
      </c>
      <c r="D43" t="s">
        <v>260</v>
      </c>
    </row>
    <row r="44" spans="1:4" x14ac:dyDescent="0.3">
      <c r="A44">
        <v>43</v>
      </c>
      <c r="B44" t="s">
        <v>288</v>
      </c>
      <c r="C44" t="s">
        <v>261</v>
      </c>
      <c r="D44" t="s">
        <v>262</v>
      </c>
    </row>
    <row r="45" spans="1:4" x14ac:dyDescent="0.3">
      <c r="A45">
        <v>44</v>
      </c>
      <c r="B45" t="s">
        <v>288</v>
      </c>
      <c r="C45" t="s">
        <v>127</v>
      </c>
      <c r="D45" t="s">
        <v>263</v>
      </c>
    </row>
    <row r="46" spans="1:4" x14ac:dyDescent="0.3">
      <c r="A46">
        <v>45</v>
      </c>
      <c r="B46" t="s">
        <v>288</v>
      </c>
      <c r="C46" t="s">
        <v>128</v>
      </c>
      <c r="D46" t="s">
        <v>264</v>
      </c>
    </row>
    <row r="47" spans="1:4" x14ac:dyDescent="0.3">
      <c r="A47">
        <v>46</v>
      </c>
      <c r="B47" t="s">
        <v>289</v>
      </c>
      <c r="C47" t="s">
        <v>265</v>
      </c>
      <c r="D47" t="s">
        <v>266</v>
      </c>
    </row>
    <row r="48" spans="1:4" x14ac:dyDescent="0.3">
      <c r="A48">
        <v>47</v>
      </c>
      <c r="B48" t="s">
        <v>289</v>
      </c>
      <c r="C48" t="s">
        <v>156</v>
      </c>
      <c r="D48" t="s">
        <v>267</v>
      </c>
    </row>
    <row r="49" spans="1:4" x14ac:dyDescent="0.3">
      <c r="A49">
        <v>48</v>
      </c>
      <c r="B49" t="s">
        <v>290</v>
      </c>
      <c r="C49" t="s">
        <v>268</v>
      </c>
      <c r="D49" t="s">
        <v>269</v>
      </c>
    </row>
    <row r="50" spans="1:4" x14ac:dyDescent="0.3">
      <c r="A50">
        <v>49</v>
      </c>
      <c r="B50" t="s">
        <v>290</v>
      </c>
      <c r="C50" t="s">
        <v>270</v>
      </c>
      <c r="D50" t="s">
        <v>271</v>
      </c>
    </row>
    <row r="51" spans="1:4" x14ac:dyDescent="0.3">
      <c r="A51">
        <v>50</v>
      </c>
      <c r="B51" t="s">
        <v>290</v>
      </c>
      <c r="C51" t="s">
        <v>272</v>
      </c>
      <c r="D51" t="s">
        <v>273</v>
      </c>
    </row>
    <row r="52" spans="1:4" x14ac:dyDescent="0.3">
      <c r="A52">
        <v>51</v>
      </c>
      <c r="B52" t="s">
        <v>290</v>
      </c>
      <c r="C52" t="s">
        <v>274</v>
      </c>
      <c r="D52" t="s">
        <v>275</v>
      </c>
    </row>
    <row r="53" spans="1:4" x14ac:dyDescent="0.3">
      <c r="A53">
        <v>52</v>
      </c>
      <c r="B53" t="s">
        <v>290</v>
      </c>
      <c r="C53" t="s">
        <v>135</v>
      </c>
      <c r="D53" t="s">
        <v>276</v>
      </c>
    </row>
    <row r="54" spans="1:4" x14ac:dyDescent="0.3">
      <c r="A54">
        <v>53</v>
      </c>
      <c r="B54" t="s">
        <v>290</v>
      </c>
      <c r="C54" t="s">
        <v>277</v>
      </c>
      <c r="D54" t="s">
        <v>278</v>
      </c>
    </row>
    <row r="55" spans="1:4" x14ac:dyDescent="0.3">
      <c r="A55">
        <v>54</v>
      </c>
      <c r="B55" t="s">
        <v>290</v>
      </c>
      <c r="C55" t="s">
        <v>279</v>
      </c>
      <c r="D55" t="s">
        <v>280</v>
      </c>
    </row>
    <row r="56" spans="1:4" x14ac:dyDescent="0.3">
      <c r="A56">
        <v>55</v>
      </c>
      <c r="B56" t="s">
        <v>290</v>
      </c>
      <c r="C56" t="s">
        <v>137</v>
      </c>
      <c r="D56" t="s">
        <v>281</v>
      </c>
    </row>
    <row r="57" spans="1:4" x14ac:dyDescent="0.3">
      <c r="A57">
        <v>56</v>
      </c>
      <c r="B57" t="s">
        <v>121</v>
      </c>
      <c r="C57" t="s">
        <v>118</v>
      </c>
      <c r="D57" t="s">
        <v>122</v>
      </c>
    </row>
    <row r="58" spans="1:4" x14ac:dyDescent="0.3">
      <c r="A58">
        <v>57</v>
      </c>
      <c r="B58" t="s">
        <v>121</v>
      </c>
      <c r="C58" t="s">
        <v>119</v>
      </c>
      <c r="D58" t="s">
        <v>123</v>
      </c>
    </row>
    <row r="59" spans="1:4" x14ac:dyDescent="0.3">
      <c r="A59">
        <v>58</v>
      </c>
      <c r="B59" t="s">
        <v>121</v>
      </c>
      <c r="C59" t="s">
        <v>126</v>
      </c>
      <c r="D59" t="s">
        <v>282</v>
      </c>
    </row>
    <row r="60" spans="1:4" x14ac:dyDescent="0.3">
      <c r="A60">
        <v>59</v>
      </c>
      <c r="B60" t="s">
        <v>121</v>
      </c>
      <c r="C60" t="s">
        <v>283</v>
      </c>
      <c r="D60" t="s">
        <v>284</v>
      </c>
    </row>
    <row r="61" spans="1:4" x14ac:dyDescent="0.3">
      <c r="A61">
        <v>60</v>
      </c>
      <c r="B61" t="s">
        <v>121</v>
      </c>
      <c r="C61" t="s">
        <v>117</v>
      </c>
      <c r="D61" t="s">
        <v>124</v>
      </c>
    </row>
  </sheetData>
  <autoFilter ref="A1:D1" xr:uid="{298EE7B6-A704-4366-86E5-B86C1F928EEE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0"/>
  <sheetViews>
    <sheetView workbookViewId="0">
      <selection activeCell="C9" sqref="C9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16.5546875" style="10" bestFit="1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B2" s="10" t="s">
        <v>134</v>
      </c>
      <c r="C2" s="10" t="s">
        <v>133</v>
      </c>
      <c r="D2" s="10" t="s">
        <v>138</v>
      </c>
    </row>
    <row r="3" spans="1:4" x14ac:dyDescent="0.3">
      <c r="A3" s="10">
        <v>2</v>
      </c>
      <c r="B3" s="10" t="s">
        <v>125</v>
      </c>
      <c r="C3" s="10" t="s">
        <v>127</v>
      </c>
      <c r="D3" s="10" t="s">
        <v>139</v>
      </c>
    </row>
    <row r="4" spans="1:4" x14ac:dyDescent="0.3">
      <c r="A4" s="10">
        <v>3</v>
      </c>
      <c r="B4" s="10" t="s">
        <v>125</v>
      </c>
      <c r="C4" s="10" t="s">
        <v>128</v>
      </c>
      <c r="D4" s="10" t="s">
        <v>140</v>
      </c>
    </row>
    <row r="5" spans="1:4" x14ac:dyDescent="0.3">
      <c r="A5" s="10">
        <v>4</v>
      </c>
      <c r="B5" s="10" t="s">
        <v>136</v>
      </c>
      <c r="C5" s="10" t="s">
        <v>135</v>
      </c>
      <c r="D5" s="10" t="s">
        <v>141</v>
      </c>
    </row>
    <row r="6" spans="1:4" x14ac:dyDescent="0.3">
      <c r="A6" s="10">
        <v>5</v>
      </c>
      <c r="B6" s="10" t="s">
        <v>136</v>
      </c>
      <c r="C6" s="10" t="s">
        <v>137</v>
      </c>
      <c r="D6" s="10" t="s">
        <v>142</v>
      </c>
    </row>
    <row r="7" spans="1:4" x14ac:dyDescent="0.3">
      <c r="A7" s="10">
        <v>6</v>
      </c>
      <c r="B7" s="10" t="s">
        <v>120</v>
      </c>
      <c r="C7" s="10" t="s">
        <v>118</v>
      </c>
      <c r="D7" s="10" t="s">
        <v>143</v>
      </c>
    </row>
    <row r="8" spans="1:4" x14ac:dyDescent="0.3">
      <c r="A8" s="10">
        <v>7</v>
      </c>
      <c r="B8" s="10" t="s">
        <v>120</v>
      </c>
      <c r="C8" s="10" t="s">
        <v>119</v>
      </c>
      <c r="D8" s="10" t="s">
        <v>144</v>
      </c>
    </row>
    <row r="9" spans="1:4" x14ac:dyDescent="0.3">
      <c r="A9" s="10">
        <v>8</v>
      </c>
      <c r="B9" s="10" t="s">
        <v>120</v>
      </c>
      <c r="C9" s="10" t="s">
        <v>126</v>
      </c>
      <c r="D9" s="10" t="s">
        <v>145</v>
      </c>
    </row>
    <row r="10" spans="1:4" x14ac:dyDescent="0.3">
      <c r="A10" s="10">
        <v>9</v>
      </c>
      <c r="B10" s="10" t="s">
        <v>120</v>
      </c>
      <c r="C10" s="10" t="s">
        <v>117</v>
      </c>
      <c r="D10" s="10" t="s">
        <v>146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63"/>
  <sheetViews>
    <sheetView workbookViewId="0">
      <pane ySplit="1" topLeftCell="A35" activePane="bottomLeft" state="frozen"/>
      <selection pane="bottomLeft" activeCell="F14" sqref="F14:F40"/>
    </sheetView>
  </sheetViews>
  <sheetFormatPr defaultRowHeight="14.4" x14ac:dyDescent="0.3"/>
  <cols>
    <col min="1" max="1" width="6.109375" style="10" bestFit="1" customWidth="1"/>
    <col min="2" max="2" width="25.44140625" style="10" bestFit="1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130</v>
      </c>
      <c r="D1" s="11" t="s">
        <v>41</v>
      </c>
      <c r="E1" s="11" t="s">
        <v>40</v>
      </c>
      <c r="F1" s="11" t="s">
        <v>129</v>
      </c>
      <c r="G1" s="11" t="s">
        <v>131</v>
      </c>
    </row>
    <row r="2" spans="1:7" ht="28.8" hidden="1" x14ac:dyDescent="0.3">
      <c r="A2" s="10">
        <v>1</v>
      </c>
      <c r="B2" s="10" t="s">
        <v>43</v>
      </c>
      <c r="C2" s="10" t="s">
        <v>165</v>
      </c>
      <c r="D2" s="10" t="s">
        <v>293</v>
      </c>
      <c r="E2" s="10" t="s">
        <v>294</v>
      </c>
      <c r="F2" s="10" t="s">
        <v>295</v>
      </c>
      <c r="G2" s="10" t="s">
        <v>166</v>
      </c>
    </row>
    <row r="3" spans="1:7" ht="28.8" hidden="1" x14ac:dyDescent="0.3">
      <c r="A3" s="10">
        <v>2</v>
      </c>
      <c r="B3" s="10" t="s">
        <v>43</v>
      </c>
      <c r="C3" s="10" t="s">
        <v>148</v>
      </c>
      <c r="D3" s="10" t="s">
        <v>294</v>
      </c>
      <c r="E3" s="10" t="s">
        <v>296</v>
      </c>
      <c r="F3" s="10" t="s">
        <v>297</v>
      </c>
      <c r="G3" s="10" t="s">
        <v>167</v>
      </c>
    </row>
    <row r="4" spans="1:7" ht="28.8" hidden="1" x14ac:dyDescent="0.3">
      <c r="A4" s="10">
        <v>3</v>
      </c>
      <c r="B4" s="10" t="s">
        <v>43</v>
      </c>
      <c r="C4" s="10" t="s">
        <v>168</v>
      </c>
      <c r="D4" s="10" t="s">
        <v>298</v>
      </c>
      <c r="E4" s="10" t="s">
        <v>294</v>
      </c>
      <c r="F4" s="10" t="s">
        <v>299</v>
      </c>
      <c r="G4" s="10" t="s">
        <v>169</v>
      </c>
    </row>
    <row r="5" spans="1:7" ht="28.8" hidden="1" x14ac:dyDescent="0.3">
      <c r="A5" s="10">
        <v>4</v>
      </c>
      <c r="B5" s="10" t="s">
        <v>43</v>
      </c>
      <c r="C5" s="10" t="s">
        <v>170</v>
      </c>
      <c r="D5" s="10" t="s">
        <v>171</v>
      </c>
      <c r="E5" s="10" t="s">
        <v>294</v>
      </c>
      <c r="F5" s="10" t="s">
        <v>300</v>
      </c>
      <c r="G5" s="10" t="s">
        <v>172</v>
      </c>
    </row>
    <row r="6" spans="1:7" ht="28.8" hidden="1" x14ac:dyDescent="0.3">
      <c r="A6" s="10">
        <v>5</v>
      </c>
      <c r="B6" s="10" t="s">
        <v>43</v>
      </c>
      <c r="C6" s="10" t="s">
        <v>173</v>
      </c>
      <c r="D6" s="10" t="s">
        <v>174</v>
      </c>
      <c r="E6" s="10" t="s">
        <v>171</v>
      </c>
      <c r="F6" s="10" t="s">
        <v>301</v>
      </c>
      <c r="G6" s="10" t="s">
        <v>175</v>
      </c>
    </row>
    <row r="7" spans="1:7" ht="28.8" hidden="1" x14ac:dyDescent="0.3">
      <c r="A7" s="10">
        <v>6</v>
      </c>
      <c r="B7" s="10" t="s">
        <v>43</v>
      </c>
      <c r="C7" s="10" t="s">
        <v>176</v>
      </c>
      <c r="D7" s="10" t="s">
        <v>302</v>
      </c>
      <c r="E7" s="10" t="s">
        <v>294</v>
      </c>
      <c r="F7" s="10" t="s">
        <v>303</v>
      </c>
      <c r="G7" s="10" t="s">
        <v>177</v>
      </c>
    </row>
    <row r="8" spans="1:7" ht="28.8" hidden="1" x14ac:dyDescent="0.3">
      <c r="A8" s="10">
        <v>7</v>
      </c>
      <c r="B8" s="10" t="s">
        <v>43</v>
      </c>
      <c r="C8" s="10" t="s">
        <v>178</v>
      </c>
      <c r="D8" s="10" t="s">
        <v>304</v>
      </c>
      <c r="E8" s="10" t="s">
        <v>294</v>
      </c>
      <c r="F8" s="10" t="s">
        <v>305</v>
      </c>
      <c r="G8" s="10" t="s">
        <v>179</v>
      </c>
    </row>
    <row r="9" spans="1:7" ht="28.8" hidden="1" x14ac:dyDescent="0.3">
      <c r="A9" s="10">
        <v>8</v>
      </c>
      <c r="B9" s="10" t="s">
        <v>43</v>
      </c>
      <c r="C9" s="10" t="s">
        <v>180</v>
      </c>
      <c r="D9" s="10" t="s">
        <v>306</v>
      </c>
      <c r="F9" s="10" t="s">
        <v>307</v>
      </c>
      <c r="G9" s="10" t="s">
        <v>181</v>
      </c>
    </row>
    <row r="10" spans="1:7" ht="28.8" hidden="1" x14ac:dyDescent="0.3">
      <c r="A10" s="10">
        <v>9</v>
      </c>
      <c r="B10" s="10" t="s">
        <v>43</v>
      </c>
      <c r="C10" s="10" t="s">
        <v>182</v>
      </c>
      <c r="D10" s="10" t="s">
        <v>308</v>
      </c>
      <c r="E10" s="10" t="s">
        <v>294</v>
      </c>
      <c r="F10" s="10" t="s">
        <v>309</v>
      </c>
      <c r="G10" s="10" t="s">
        <v>183</v>
      </c>
    </row>
    <row r="11" spans="1:7" ht="28.8" hidden="1" x14ac:dyDescent="0.3">
      <c r="A11" s="10">
        <v>10</v>
      </c>
      <c r="B11" s="10" t="s">
        <v>43</v>
      </c>
      <c r="C11" s="10" t="s">
        <v>184</v>
      </c>
      <c r="D11" s="10" t="s">
        <v>310</v>
      </c>
      <c r="E11" s="10" t="s">
        <v>294</v>
      </c>
      <c r="F11" s="10" t="s">
        <v>311</v>
      </c>
      <c r="G11" s="10" t="s">
        <v>185</v>
      </c>
    </row>
    <row r="12" spans="1:7" ht="28.8" hidden="1" x14ac:dyDescent="0.3">
      <c r="A12" s="10">
        <v>11</v>
      </c>
      <c r="B12" s="10" t="s">
        <v>134</v>
      </c>
      <c r="C12" s="10" t="s">
        <v>186</v>
      </c>
      <c r="D12" s="10" t="s">
        <v>312</v>
      </c>
      <c r="E12" s="10" t="s">
        <v>313</v>
      </c>
      <c r="F12" s="10" t="s">
        <v>314</v>
      </c>
      <c r="G12" s="10" t="s">
        <v>187</v>
      </c>
    </row>
    <row r="13" spans="1:7" ht="28.8" hidden="1" x14ac:dyDescent="0.3">
      <c r="A13" s="10">
        <v>12</v>
      </c>
      <c r="B13" s="10" t="s">
        <v>134</v>
      </c>
      <c r="C13" s="10" t="s">
        <v>133</v>
      </c>
      <c r="D13" s="10" t="s">
        <v>315</v>
      </c>
      <c r="E13" s="10" t="s">
        <v>313</v>
      </c>
      <c r="F13" s="10" t="s">
        <v>138</v>
      </c>
      <c r="G13" s="10" t="s">
        <v>188</v>
      </c>
    </row>
    <row r="14" spans="1:7" ht="28.8" x14ac:dyDescent="0.3">
      <c r="A14" s="10">
        <v>13</v>
      </c>
      <c r="B14" s="10" t="s">
        <v>316</v>
      </c>
      <c r="C14" s="10" t="s">
        <v>149</v>
      </c>
      <c r="D14" s="10" t="s">
        <v>158</v>
      </c>
      <c r="E14" s="10" t="s">
        <v>159</v>
      </c>
      <c r="F14" s="10" t="s">
        <v>340</v>
      </c>
      <c r="G14" s="10" t="s">
        <v>189</v>
      </c>
    </row>
    <row r="15" spans="1:7" ht="43.2" x14ac:dyDescent="0.3">
      <c r="A15" s="10">
        <v>14</v>
      </c>
      <c r="B15" s="10" t="s">
        <v>316</v>
      </c>
      <c r="C15" s="10" t="s">
        <v>190</v>
      </c>
      <c r="D15" s="10" t="s">
        <v>191</v>
      </c>
      <c r="E15" s="10" t="s">
        <v>158</v>
      </c>
      <c r="F15" s="10" t="s">
        <v>341</v>
      </c>
      <c r="G15" s="10" t="s">
        <v>192</v>
      </c>
    </row>
    <row r="16" spans="1:7" ht="43.2" x14ac:dyDescent="0.3">
      <c r="A16" s="10">
        <v>15</v>
      </c>
      <c r="B16" s="10" t="s">
        <v>316</v>
      </c>
      <c r="C16" s="10" t="s">
        <v>193</v>
      </c>
      <c r="D16" s="10" t="s">
        <v>194</v>
      </c>
      <c r="E16" s="10" t="s">
        <v>158</v>
      </c>
      <c r="F16" s="10" t="s">
        <v>342</v>
      </c>
      <c r="G16" s="10" t="s">
        <v>195</v>
      </c>
    </row>
    <row r="17" spans="1:7" ht="43.2" x14ac:dyDescent="0.3">
      <c r="A17" s="10">
        <v>16</v>
      </c>
      <c r="B17" s="10" t="s">
        <v>316</v>
      </c>
      <c r="C17" s="10" t="s">
        <v>196</v>
      </c>
      <c r="D17" s="10" t="s">
        <v>197</v>
      </c>
      <c r="E17" s="10" t="s">
        <v>158</v>
      </c>
      <c r="F17" s="10" t="s">
        <v>343</v>
      </c>
      <c r="G17" s="10" t="s">
        <v>198</v>
      </c>
    </row>
    <row r="18" spans="1:7" ht="43.2" x14ac:dyDescent="0.3">
      <c r="A18" s="10">
        <v>17</v>
      </c>
      <c r="B18" s="10" t="s">
        <v>316</v>
      </c>
      <c r="C18" s="10" t="s">
        <v>199</v>
      </c>
      <c r="D18" s="10" t="s">
        <v>200</v>
      </c>
      <c r="E18" s="10" t="s">
        <v>158</v>
      </c>
      <c r="F18" s="10" t="s">
        <v>344</v>
      </c>
      <c r="G18" s="10" t="s">
        <v>201</v>
      </c>
    </row>
    <row r="19" spans="1:7" ht="43.2" x14ac:dyDescent="0.3">
      <c r="A19" s="10">
        <v>18</v>
      </c>
      <c r="B19" s="10" t="s">
        <v>316</v>
      </c>
      <c r="C19" s="10" t="s">
        <v>202</v>
      </c>
      <c r="D19" s="10" t="s">
        <v>203</v>
      </c>
      <c r="E19" s="10" t="s">
        <v>158</v>
      </c>
      <c r="F19" s="10" t="s">
        <v>345</v>
      </c>
      <c r="G19" s="10" t="s">
        <v>204</v>
      </c>
    </row>
    <row r="20" spans="1:7" ht="28.8" x14ac:dyDescent="0.3">
      <c r="A20" s="10">
        <v>19</v>
      </c>
      <c r="B20" s="10" t="s">
        <v>316</v>
      </c>
      <c r="C20" s="10" t="s">
        <v>205</v>
      </c>
      <c r="D20" s="10" t="s">
        <v>206</v>
      </c>
      <c r="E20" s="10" t="s">
        <v>158</v>
      </c>
      <c r="F20" s="10" t="s">
        <v>346</v>
      </c>
      <c r="G20" s="10" t="s">
        <v>207</v>
      </c>
    </row>
    <row r="21" spans="1:7" ht="28.8" x14ac:dyDescent="0.3">
      <c r="A21" s="10">
        <v>20</v>
      </c>
      <c r="B21" s="10" t="s">
        <v>316</v>
      </c>
      <c r="C21" s="10" t="s">
        <v>150</v>
      </c>
      <c r="D21" s="10" t="s">
        <v>160</v>
      </c>
      <c r="E21" s="10" t="s">
        <v>203</v>
      </c>
      <c r="F21" s="10" t="s">
        <v>347</v>
      </c>
      <c r="G21" s="10" t="s">
        <v>208</v>
      </c>
    </row>
    <row r="22" spans="1:7" ht="43.2" x14ac:dyDescent="0.3">
      <c r="A22" s="10">
        <v>21</v>
      </c>
      <c r="B22" s="10" t="s">
        <v>316</v>
      </c>
      <c r="C22" s="10" t="s">
        <v>147</v>
      </c>
      <c r="D22" s="10" t="s">
        <v>209</v>
      </c>
      <c r="E22" s="10" t="s">
        <v>206</v>
      </c>
      <c r="F22" s="10" t="s">
        <v>348</v>
      </c>
      <c r="G22" s="10" t="s">
        <v>210</v>
      </c>
    </row>
    <row r="23" spans="1:7" ht="28.8" x14ac:dyDescent="0.3">
      <c r="A23" s="10">
        <v>22</v>
      </c>
      <c r="B23" s="10" t="s">
        <v>316</v>
      </c>
      <c r="C23" s="10" t="s">
        <v>153</v>
      </c>
      <c r="D23" s="10" t="s">
        <v>161</v>
      </c>
      <c r="E23" s="10" t="s">
        <v>164</v>
      </c>
      <c r="F23" s="10" t="s">
        <v>349</v>
      </c>
      <c r="G23" s="10" t="s">
        <v>211</v>
      </c>
    </row>
    <row r="24" spans="1:7" ht="28.8" x14ac:dyDescent="0.3">
      <c r="A24" s="10">
        <v>23</v>
      </c>
      <c r="B24" s="10" t="s">
        <v>316</v>
      </c>
      <c r="C24" s="10" t="s">
        <v>212</v>
      </c>
      <c r="D24" s="10" t="s">
        <v>213</v>
      </c>
      <c r="E24" s="10" t="s">
        <v>174</v>
      </c>
      <c r="F24" s="10" t="s">
        <v>350</v>
      </c>
      <c r="G24" s="10" t="s">
        <v>214</v>
      </c>
    </row>
    <row r="25" spans="1:7" ht="28.8" x14ac:dyDescent="0.3">
      <c r="A25" s="10">
        <v>24</v>
      </c>
      <c r="B25" s="10" t="s">
        <v>316</v>
      </c>
      <c r="C25" s="10" t="s">
        <v>154</v>
      </c>
      <c r="D25" s="10" t="s">
        <v>163</v>
      </c>
      <c r="E25" s="10" t="s">
        <v>164</v>
      </c>
      <c r="F25" s="10" t="s">
        <v>351</v>
      </c>
      <c r="G25" s="10" t="s">
        <v>215</v>
      </c>
    </row>
    <row r="26" spans="1:7" ht="28.8" x14ac:dyDescent="0.3">
      <c r="A26" s="10">
        <v>25</v>
      </c>
      <c r="B26" s="10" t="s">
        <v>316</v>
      </c>
      <c r="C26" s="10" t="s">
        <v>151</v>
      </c>
      <c r="D26" s="10" t="s">
        <v>159</v>
      </c>
      <c r="E26" s="10" t="s">
        <v>213</v>
      </c>
      <c r="F26" s="10" t="s">
        <v>352</v>
      </c>
      <c r="G26" s="10" t="s">
        <v>216</v>
      </c>
    </row>
    <row r="27" spans="1:7" ht="28.8" x14ac:dyDescent="0.3">
      <c r="A27" s="10">
        <v>26</v>
      </c>
      <c r="B27" s="10" t="s">
        <v>316</v>
      </c>
      <c r="C27" s="10" t="s">
        <v>155</v>
      </c>
      <c r="D27" s="10" t="s">
        <v>164</v>
      </c>
      <c r="E27" s="10" t="s">
        <v>159</v>
      </c>
      <c r="F27" s="10" t="s">
        <v>353</v>
      </c>
      <c r="G27" s="10" t="s">
        <v>217</v>
      </c>
    </row>
    <row r="28" spans="1:7" ht="28.8" x14ac:dyDescent="0.3">
      <c r="A28" s="10">
        <v>27</v>
      </c>
      <c r="B28" s="10" t="s">
        <v>316</v>
      </c>
      <c r="C28" s="10" t="s">
        <v>152</v>
      </c>
      <c r="D28" s="10" t="s">
        <v>162</v>
      </c>
      <c r="E28" s="10" t="s">
        <v>160</v>
      </c>
      <c r="F28" s="10" t="s">
        <v>354</v>
      </c>
      <c r="G28" s="10" t="s">
        <v>218</v>
      </c>
    </row>
    <row r="29" spans="1:7" ht="43.2" x14ac:dyDescent="0.3">
      <c r="A29" s="10">
        <v>28</v>
      </c>
      <c r="B29" s="10" t="s">
        <v>316</v>
      </c>
      <c r="C29" s="10" t="s">
        <v>219</v>
      </c>
      <c r="D29" s="10" t="s">
        <v>220</v>
      </c>
      <c r="E29" s="10" t="s">
        <v>206</v>
      </c>
      <c r="F29" s="10" t="s">
        <v>355</v>
      </c>
      <c r="G29" s="10" t="s">
        <v>221</v>
      </c>
    </row>
    <row r="30" spans="1:7" ht="28.8" x14ac:dyDescent="0.3">
      <c r="A30" s="10">
        <v>29</v>
      </c>
      <c r="B30" s="10" t="s">
        <v>316</v>
      </c>
      <c r="C30" s="10" t="s">
        <v>222</v>
      </c>
      <c r="D30" s="10" t="s">
        <v>223</v>
      </c>
      <c r="E30" s="10" t="s">
        <v>164</v>
      </c>
      <c r="F30" s="10" t="s">
        <v>356</v>
      </c>
      <c r="G30" s="10" t="s">
        <v>224</v>
      </c>
    </row>
    <row r="31" spans="1:7" ht="43.2" x14ac:dyDescent="0.3">
      <c r="A31" s="10">
        <v>30</v>
      </c>
      <c r="B31" s="10" t="s">
        <v>316</v>
      </c>
      <c r="C31" s="10" t="s">
        <v>225</v>
      </c>
      <c r="D31" s="10" t="s">
        <v>226</v>
      </c>
      <c r="E31" s="10" t="s">
        <v>158</v>
      </c>
      <c r="F31" s="10" t="s">
        <v>357</v>
      </c>
      <c r="G31" s="10" t="s">
        <v>227</v>
      </c>
    </row>
    <row r="32" spans="1:7" ht="43.2" x14ac:dyDescent="0.3">
      <c r="A32" s="10">
        <v>31</v>
      </c>
      <c r="B32" s="10" t="s">
        <v>316</v>
      </c>
      <c r="C32" s="10" t="s">
        <v>228</v>
      </c>
      <c r="D32" s="10" t="s">
        <v>229</v>
      </c>
      <c r="E32" s="10" t="s">
        <v>158</v>
      </c>
      <c r="F32" s="10" t="s">
        <v>358</v>
      </c>
      <c r="G32" s="10" t="s">
        <v>230</v>
      </c>
    </row>
    <row r="33" spans="1:7" ht="28.8" x14ac:dyDescent="0.3">
      <c r="A33" s="10">
        <v>32</v>
      </c>
      <c r="B33" s="10" t="s">
        <v>316</v>
      </c>
      <c r="C33" s="10" t="s">
        <v>231</v>
      </c>
      <c r="D33" s="10" t="s">
        <v>232</v>
      </c>
      <c r="E33" s="10" t="s">
        <v>164</v>
      </c>
      <c r="F33" s="10" t="s">
        <v>359</v>
      </c>
      <c r="G33" s="10" t="s">
        <v>233</v>
      </c>
    </row>
    <row r="34" spans="1:7" ht="28.8" x14ac:dyDescent="0.3">
      <c r="A34" s="10">
        <v>33</v>
      </c>
      <c r="B34" s="10" t="s">
        <v>316</v>
      </c>
      <c r="C34" s="10" t="s">
        <v>234</v>
      </c>
      <c r="D34" s="10" t="s">
        <v>235</v>
      </c>
      <c r="E34" s="10" t="s">
        <v>171</v>
      </c>
      <c r="F34" s="10" t="s">
        <v>360</v>
      </c>
      <c r="G34" s="10" t="s">
        <v>236</v>
      </c>
    </row>
    <row r="35" spans="1:7" ht="28.8" x14ac:dyDescent="0.3">
      <c r="A35" s="10">
        <v>34</v>
      </c>
      <c r="B35" s="10" t="s">
        <v>316</v>
      </c>
      <c r="C35" s="10" t="s">
        <v>237</v>
      </c>
      <c r="D35" s="10" t="s">
        <v>238</v>
      </c>
      <c r="E35" s="10" t="s">
        <v>164</v>
      </c>
      <c r="F35" s="10" t="s">
        <v>361</v>
      </c>
      <c r="G35" s="10" t="s">
        <v>239</v>
      </c>
    </row>
    <row r="36" spans="1:7" ht="43.2" x14ac:dyDescent="0.3">
      <c r="A36" s="10">
        <v>35</v>
      </c>
      <c r="B36" s="10" t="s">
        <v>316</v>
      </c>
      <c r="C36" s="10" t="s">
        <v>240</v>
      </c>
      <c r="D36" s="10" t="s">
        <v>241</v>
      </c>
      <c r="E36" s="10" t="s">
        <v>164</v>
      </c>
      <c r="F36" s="10" t="s">
        <v>362</v>
      </c>
      <c r="G36" s="10" t="s">
        <v>242</v>
      </c>
    </row>
    <row r="37" spans="1:7" ht="43.2" x14ac:dyDescent="0.3">
      <c r="A37" s="10">
        <v>36</v>
      </c>
      <c r="B37" s="10" t="s">
        <v>316</v>
      </c>
      <c r="C37" s="10" t="s">
        <v>243</v>
      </c>
      <c r="D37" s="10" t="s">
        <v>244</v>
      </c>
      <c r="E37" s="10" t="s">
        <v>164</v>
      </c>
      <c r="F37" s="10" t="s">
        <v>363</v>
      </c>
      <c r="G37" s="10" t="s">
        <v>245</v>
      </c>
    </row>
    <row r="38" spans="1:7" ht="28.8" x14ac:dyDescent="0.3">
      <c r="A38" s="10">
        <v>37</v>
      </c>
      <c r="B38" s="10" t="s">
        <v>316</v>
      </c>
      <c r="C38" s="10" t="s">
        <v>246</v>
      </c>
      <c r="D38" s="10" t="s">
        <v>247</v>
      </c>
      <c r="E38" s="10" t="s">
        <v>164</v>
      </c>
      <c r="F38" s="10" t="s">
        <v>364</v>
      </c>
      <c r="G38" s="10" t="s">
        <v>248</v>
      </c>
    </row>
    <row r="39" spans="1:7" ht="28.8" x14ac:dyDescent="0.3">
      <c r="A39" s="10">
        <v>38</v>
      </c>
      <c r="B39" s="10" t="s">
        <v>316</v>
      </c>
      <c r="C39" s="10" t="s">
        <v>249</v>
      </c>
      <c r="D39" s="10" t="s">
        <v>250</v>
      </c>
      <c r="E39" s="10" t="s">
        <v>164</v>
      </c>
      <c r="F39" s="10" t="s">
        <v>365</v>
      </c>
      <c r="G39" s="10" t="s">
        <v>251</v>
      </c>
    </row>
    <row r="40" spans="1:7" ht="28.8" x14ac:dyDescent="0.3">
      <c r="A40" s="10">
        <v>39</v>
      </c>
      <c r="B40" s="10" t="s">
        <v>316</v>
      </c>
      <c r="C40" s="10" t="s">
        <v>252</v>
      </c>
      <c r="D40" s="10" t="s">
        <v>253</v>
      </c>
      <c r="E40" s="10" t="s">
        <v>158</v>
      </c>
      <c r="F40" s="10" t="s">
        <v>366</v>
      </c>
      <c r="G40" s="10" t="s">
        <v>254</v>
      </c>
    </row>
    <row r="41" spans="1:7" ht="28.8" hidden="1" x14ac:dyDescent="0.3">
      <c r="A41" s="10">
        <v>40</v>
      </c>
      <c r="B41" s="10" t="s">
        <v>125</v>
      </c>
      <c r="C41" s="10" t="s">
        <v>255</v>
      </c>
      <c r="F41" s="10" t="s">
        <v>317</v>
      </c>
      <c r="G41" s="10" t="s">
        <v>256</v>
      </c>
    </row>
    <row r="42" spans="1:7" ht="28.8" hidden="1" x14ac:dyDescent="0.3">
      <c r="A42" s="10">
        <v>41</v>
      </c>
      <c r="B42" s="10" t="s">
        <v>125</v>
      </c>
      <c r="C42" s="10" t="s">
        <v>257</v>
      </c>
      <c r="F42" s="10" t="s">
        <v>318</v>
      </c>
      <c r="G42" s="10" t="s">
        <v>258</v>
      </c>
    </row>
    <row r="43" spans="1:7" ht="43.2" hidden="1" x14ac:dyDescent="0.3">
      <c r="A43" s="10">
        <v>42</v>
      </c>
      <c r="B43" s="10" t="s">
        <v>125</v>
      </c>
      <c r="C43" s="10" t="s">
        <v>259</v>
      </c>
      <c r="F43" s="10" t="s">
        <v>319</v>
      </c>
      <c r="G43" s="10" t="s">
        <v>260</v>
      </c>
    </row>
    <row r="44" spans="1:7" ht="28.8" hidden="1" x14ac:dyDescent="0.3">
      <c r="A44" s="10">
        <v>43</v>
      </c>
      <c r="B44" s="10" t="s">
        <v>125</v>
      </c>
      <c r="C44" s="10" t="s">
        <v>261</v>
      </c>
      <c r="F44" s="10" t="s">
        <v>320</v>
      </c>
      <c r="G44" s="10" t="s">
        <v>262</v>
      </c>
    </row>
    <row r="45" spans="1:7" ht="28.8" hidden="1" x14ac:dyDescent="0.3">
      <c r="A45" s="10">
        <v>44</v>
      </c>
      <c r="B45" s="10" t="s">
        <v>125</v>
      </c>
      <c r="C45" s="10" t="s">
        <v>127</v>
      </c>
      <c r="F45" s="10" t="s">
        <v>139</v>
      </c>
      <c r="G45" s="10" t="s">
        <v>263</v>
      </c>
    </row>
    <row r="46" spans="1:7" ht="28.8" hidden="1" x14ac:dyDescent="0.3">
      <c r="A46" s="10">
        <v>45</v>
      </c>
      <c r="B46" s="10" t="s">
        <v>125</v>
      </c>
      <c r="C46" s="10" t="s">
        <v>128</v>
      </c>
      <c r="F46" s="10" t="s">
        <v>140</v>
      </c>
      <c r="G46" s="10" t="s">
        <v>264</v>
      </c>
    </row>
    <row r="47" spans="1:7" ht="28.8" hidden="1" x14ac:dyDescent="0.3">
      <c r="A47" s="10">
        <v>46</v>
      </c>
      <c r="B47" s="10" t="s">
        <v>321</v>
      </c>
      <c r="C47" s="10" t="s">
        <v>265</v>
      </c>
      <c r="D47" s="10" t="s">
        <v>322</v>
      </c>
      <c r="F47" s="10" t="s">
        <v>367</v>
      </c>
      <c r="G47" s="10" t="s">
        <v>266</v>
      </c>
    </row>
    <row r="48" spans="1:7" hidden="1" x14ac:dyDescent="0.3">
      <c r="A48" s="10">
        <v>47</v>
      </c>
      <c r="B48" s="10" t="s">
        <v>321</v>
      </c>
      <c r="C48" s="10" t="s">
        <v>156</v>
      </c>
    </row>
    <row r="49" spans="1:7" ht="28.8" hidden="1" x14ac:dyDescent="0.3">
      <c r="A49" s="10">
        <v>48</v>
      </c>
      <c r="B49" s="10" t="s">
        <v>321</v>
      </c>
      <c r="C49" s="10" t="s">
        <v>291</v>
      </c>
      <c r="F49" s="10" t="s">
        <v>368</v>
      </c>
      <c r="G49" s="10" t="s">
        <v>323</v>
      </c>
    </row>
    <row r="50" spans="1:7" ht="28.8" hidden="1" x14ac:dyDescent="0.3">
      <c r="A50" s="10">
        <v>49</v>
      </c>
      <c r="B50" s="10" t="s">
        <v>136</v>
      </c>
      <c r="C50" s="10" t="s">
        <v>268</v>
      </c>
      <c r="D50" s="10" t="s">
        <v>324</v>
      </c>
      <c r="E50" s="10" t="s">
        <v>296</v>
      </c>
      <c r="F50" s="10" t="s">
        <v>325</v>
      </c>
      <c r="G50" s="10" t="s">
        <v>269</v>
      </c>
    </row>
    <row r="51" spans="1:7" ht="28.8" hidden="1" x14ac:dyDescent="0.3">
      <c r="A51" s="10">
        <v>50</v>
      </c>
      <c r="B51" s="10" t="s">
        <v>136</v>
      </c>
      <c r="C51" s="10" t="s">
        <v>270</v>
      </c>
      <c r="D51" s="10" t="s">
        <v>326</v>
      </c>
      <c r="E51" s="10" t="s">
        <v>296</v>
      </c>
      <c r="F51" s="10" t="s">
        <v>327</v>
      </c>
      <c r="G51" s="10" t="s">
        <v>271</v>
      </c>
    </row>
    <row r="52" spans="1:7" ht="28.8" hidden="1" x14ac:dyDescent="0.3">
      <c r="A52" s="10">
        <v>51</v>
      </c>
      <c r="B52" s="10" t="s">
        <v>136</v>
      </c>
      <c r="C52" s="10" t="s">
        <v>272</v>
      </c>
      <c r="D52" s="10" t="s">
        <v>328</v>
      </c>
      <c r="E52" s="10" t="s">
        <v>296</v>
      </c>
      <c r="F52" s="10" t="s">
        <v>329</v>
      </c>
      <c r="G52" s="10" t="s">
        <v>273</v>
      </c>
    </row>
    <row r="53" spans="1:7" ht="28.8" hidden="1" x14ac:dyDescent="0.3">
      <c r="A53" s="10">
        <v>52</v>
      </c>
      <c r="B53" s="10" t="s">
        <v>136</v>
      </c>
      <c r="C53" s="10" t="s">
        <v>274</v>
      </c>
      <c r="D53" s="10" t="s">
        <v>330</v>
      </c>
      <c r="E53" s="10" t="s">
        <v>328</v>
      </c>
      <c r="F53" s="10" t="s">
        <v>331</v>
      </c>
      <c r="G53" s="10" t="s">
        <v>275</v>
      </c>
    </row>
    <row r="54" spans="1:7" ht="28.8" hidden="1" x14ac:dyDescent="0.3">
      <c r="A54" s="10">
        <v>53</v>
      </c>
      <c r="B54" s="10" t="s">
        <v>136</v>
      </c>
      <c r="C54" s="10" t="s">
        <v>135</v>
      </c>
      <c r="D54" s="10" t="s">
        <v>332</v>
      </c>
      <c r="E54" s="10" t="s">
        <v>296</v>
      </c>
      <c r="F54" s="10" t="s">
        <v>141</v>
      </c>
      <c r="G54" s="10" t="s">
        <v>276</v>
      </c>
    </row>
    <row r="55" spans="1:7" ht="28.8" hidden="1" x14ac:dyDescent="0.3">
      <c r="A55" s="10">
        <v>54</v>
      </c>
      <c r="B55" s="10" t="s">
        <v>136</v>
      </c>
      <c r="C55" s="10" t="s">
        <v>277</v>
      </c>
      <c r="D55" s="10" t="s">
        <v>333</v>
      </c>
      <c r="E55" s="10" t="s">
        <v>296</v>
      </c>
      <c r="F55" s="10" t="s">
        <v>334</v>
      </c>
      <c r="G55" s="10" t="s">
        <v>278</v>
      </c>
    </row>
    <row r="56" spans="1:7" ht="28.8" hidden="1" x14ac:dyDescent="0.3">
      <c r="A56" s="10">
        <v>55</v>
      </c>
      <c r="B56" s="10" t="s">
        <v>136</v>
      </c>
      <c r="C56" s="10" t="s">
        <v>279</v>
      </c>
      <c r="D56" s="10" t="s">
        <v>335</v>
      </c>
      <c r="E56" s="10" t="s">
        <v>296</v>
      </c>
      <c r="F56" s="10" t="s">
        <v>336</v>
      </c>
      <c r="G56" s="10" t="s">
        <v>280</v>
      </c>
    </row>
    <row r="57" spans="1:7" ht="28.8" hidden="1" x14ac:dyDescent="0.3">
      <c r="A57" s="10">
        <v>56</v>
      </c>
      <c r="B57" s="10" t="s">
        <v>136</v>
      </c>
      <c r="C57" s="10" t="s">
        <v>137</v>
      </c>
      <c r="D57" s="10" t="s">
        <v>337</v>
      </c>
      <c r="E57" s="10" t="s">
        <v>296</v>
      </c>
      <c r="F57" s="10" t="s">
        <v>142</v>
      </c>
      <c r="G57" s="10" t="s">
        <v>281</v>
      </c>
    </row>
    <row r="58" spans="1:7" ht="28.8" hidden="1" x14ac:dyDescent="0.3">
      <c r="A58" s="10">
        <v>57</v>
      </c>
      <c r="B58" s="10" t="s">
        <v>120</v>
      </c>
      <c r="C58" s="10" t="s">
        <v>118</v>
      </c>
      <c r="F58" s="10" t="s">
        <v>143</v>
      </c>
      <c r="G58" s="10" t="s">
        <v>122</v>
      </c>
    </row>
    <row r="59" spans="1:7" ht="28.8" hidden="1" x14ac:dyDescent="0.3">
      <c r="A59" s="10">
        <v>58</v>
      </c>
      <c r="B59" s="10" t="s">
        <v>120</v>
      </c>
      <c r="C59" s="10" t="s">
        <v>119</v>
      </c>
      <c r="F59" s="10" t="s">
        <v>144</v>
      </c>
      <c r="G59" s="10" t="s">
        <v>123</v>
      </c>
    </row>
    <row r="60" spans="1:7" ht="28.8" hidden="1" x14ac:dyDescent="0.3">
      <c r="A60" s="10">
        <v>59</v>
      </c>
      <c r="B60" s="10" t="s">
        <v>120</v>
      </c>
      <c r="C60" s="10" t="s">
        <v>126</v>
      </c>
      <c r="F60" s="10" t="s">
        <v>145</v>
      </c>
      <c r="G60" s="10" t="s">
        <v>282</v>
      </c>
    </row>
    <row r="61" spans="1:7" ht="43.2" hidden="1" x14ac:dyDescent="0.3">
      <c r="A61" s="10">
        <v>60</v>
      </c>
      <c r="B61" s="10" t="s">
        <v>120</v>
      </c>
      <c r="C61" s="10" t="s">
        <v>369</v>
      </c>
      <c r="D61" s="10" t="s">
        <v>213</v>
      </c>
      <c r="E61" s="10" t="s">
        <v>174</v>
      </c>
      <c r="F61" s="10" t="s">
        <v>370</v>
      </c>
      <c r="G61" s="10" t="s">
        <v>371</v>
      </c>
    </row>
    <row r="62" spans="1:7" ht="28.8" hidden="1" x14ac:dyDescent="0.3">
      <c r="A62" s="10">
        <v>61</v>
      </c>
      <c r="B62" s="10" t="s">
        <v>120</v>
      </c>
      <c r="C62" s="10" t="s">
        <v>283</v>
      </c>
      <c r="F62" s="10" t="s">
        <v>338</v>
      </c>
      <c r="G62" s="10" t="s">
        <v>284</v>
      </c>
    </row>
    <row r="63" spans="1:7" ht="28.8" hidden="1" x14ac:dyDescent="0.3">
      <c r="A63" s="10">
        <v>62</v>
      </c>
      <c r="B63" s="10" t="s">
        <v>120</v>
      </c>
      <c r="C63" s="10" t="s">
        <v>117</v>
      </c>
      <c r="F63" s="10" t="s">
        <v>146</v>
      </c>
      <c r="G63" s="10" t="s">
        <v>124</v>
      </c>
    </row>
  </sheetData>
  <autoFilter ref="A1:G63" xr:uid="{136B5B40-94A3-4421-BFB7-153F1217A494}">
    <filterColumn colId="1">
      <filters>
        <filter val="Controls"/>
      </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14"/>
  <sheetViews>
    <sheetView tabSelected="1" workbookViewId="0">
      <selection activeCell="D11" sqref="D11"/>
    </sheetView>
  </sheetViews>
  <sheetFormatPr defaultRowHeight="14.4" x14ac:dyDescent="0.3"/>
  <cols>
    <col min="2" max="2" width="22" bestFit="1" customWidth="1"/>
    <col min="3" max="3" width="20.109375" bestFit="1" customWidth="1"/>
    <col min="4" max="4" width="45.4414062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113</v>
      </c>
    </row>
    <row r="2" spans="2:9" x14ac:dyDescent="0.3">
      <c r="B2" t="s">
        <v>156</v>
      </c>
      <c r="C2" t="str">
        <f>UPPER(SUBSTITUTE(B2,".","_"))</f>
        <v>DELIB_MQH</v>
      </c>
      <c r="D2" t="str">
        <f>"#ifndef __"&amp;C$2&amp;"__"</f>
        <v>#ifndef __DELIB_MQH__</v>
      </c>
      <c r="G2" t="s">
        <v>157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__DELIB_MQH__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__DELIB_MQH__</v>
      </c>
      <c r="I4" t="str">
        <f>"#endif // " &amp;$H2</f>
        <v>#endif // CBASEOBJEXT</v>
      </c>
    </row>
    <row r="6" spans="2:9" x14ac:dyDescent="0.3">
      <c r="C6" t="s">
        <v>116</v>
      </c>
      <c r="D6" t="str">
        <f>"#ifndef "&amp;C6&amp;"_"&amp;C2</f>
        <v>#ifndef MOVE_TO_DELIB_MQH</v>
      </c>
    </row>
    <row r="7" spans="2:9" x14ac:dyDescent="0.3">
      <c r="D7" t="str">
        <f>"#define " &amp; C6&amp;"_"&amp;C2</f>
        <v>#define MOVE_TO_DELIB_MQH</v>
      </c>
      <c r="H7" t="s">
        <v>114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MOVE_TO_DELIB_MQH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0" spans="2:9" x14ac:dyDescent="0.3">
      <c r="B10" t="s">
        <v>153</v>
      </c>
      <c r="C10" t="str">
        <f>UPPER(SUBSTITUTE(B10,".","_"))</f>
        <v>CONTAINER_MQH</v>
      </c>
      <c r="D10" t="str">
        <f>"#ifndef __"&amp;C$10&amp;"__"</f>
        <v>#ifndef __CONTAINER_MQH__</v>
      </c>
    </row>
    <row r="12" spans="2:9" x14ac:dyDescent="0.3">
      <c r="H12" t="s">
        <v>115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Folders</vt:lpstr>
      <vt:lpstr>Files</vt:lpstr>
      <vt:lpstr>RelativeInclude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2026-04-06T07:45:54Z</dcterms:modified>
</cp:coreProperties>
</file>