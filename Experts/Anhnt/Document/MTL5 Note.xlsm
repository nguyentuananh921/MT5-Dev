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E78D3FA-6CD3-416F-86C2-4FC8A21C78EC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Files!$A$1:$D$1</definedName>
    <definedName name="_xlnm._FilterDatabase" localSheetId="7" hidden="1">Note!$B$1:$F$1</definedName>
    <definedName name="_xlnm._FilterDatabase" localSheetId="3" hidden="1">RelativeInclude!$A$1:$D$57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4" l="1"/>
  <c r="D22" i="14"/>
  <c r="D21" i="14"/>
  <c r="C21" i="14"/>
  <c r="C16" i="14"/>
  <c r="D16" i="14" s="1"/>
  <c r="D17" i="14" l="1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<sst xmlns="http://schemas.openxmlformats.org/spreadsheetml/2006/main" count="2079" uniqueCount="563">
  <si>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</si>
  <si>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</si>
  <si>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</si>
  <si>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</si>
  <si>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</si>
  <si>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</si>
  <si>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</si>
  <si>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</si>
  <si>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</si>
  <si>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</si>
  <si>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</si>
  <si>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</si>
  <si>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</si>
  <si>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</si>
  <si>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</si>
  <si>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</si>
  <si>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</si>
  <si>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</si>
  <si>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</si>
  <si>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</si>
  <si>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</si>
  <si>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</si>
  <si>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</si>
  <si>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</si>
  <si>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</si>
  <si>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</si>
  <si>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</si>
  <si>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</si>
  <si>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</si>
  <si>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</si>
  <si>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</si>
  <si>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</si>
  <si>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</si>
  <si>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</si>
  <si>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</si>
  <si>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</si>
  <si>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</si>
  <si>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</si>
  <si>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</si>
  <si>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</si>
  <si>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</si>
  <si>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</si>
  <si>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</si>
  <si>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</si>
  <si>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</si>
  <si>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</si>
  <si>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</si>
  <si>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</si>
  <si>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</si>
  <si>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</si>
  <si>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</si>
  <si>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</si>
  <si>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</si>
  <si>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</si>
  <si>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</si>
  <si>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</si>
  <si>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</si>
  <si>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</si>
  <si>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</si>
  <si>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</si>
  <si>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</si>
  <si>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</si>
  <si>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</si>
  <si>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</si>
  <si>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</si>
  <si>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</si>
  <si>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</si>
  <si>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</si>
  <si>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</si>
  <si>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</si>
  <si>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</si>
  <si>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</si>
  <si>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</si>
  <si>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</si>
  <si>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</si>
  <si>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</si>
  <si>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</si>
  <si>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</si>
  <si>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</si>
  <si>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</si>
  <si>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</si>
  <si>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</si>
  <si>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</si>
  <si>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</si>
  <si>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</si>
  <si>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</si>
  <si>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</si>
  <si>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</si>
  <si>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</si>
  <si>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</si>
  <si>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</si>
  <si>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</si>
  <si>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</si>
  <si>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</si>
  <si>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</si>
  <si>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</si>
  <si>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</si>
  <si>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</si>
  <si>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</si>
  <si>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</si>
  <si>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</si>
  <si>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</si>
  <si>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</si>
  <si>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</si>
  <si>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</si>
  <si>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</si>
  <si>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</si>
  <si>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</si>
  <si>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</si>
  <si>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</si>
  <si>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</si>
  <si>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</si>
  <si>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</si>
  <si>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</si>
  <si>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</si>
  <si>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</si>
  <si>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</si>
  <si>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</si>
  <si>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</si>
  <si>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</si>
  <si>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</si>
  <si>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</si>
  <si>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</si>
  <si>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</si>
  <si>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</si>
  <si>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</si>
  <si>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</si>
  <si>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</si>
  <si>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</si>
  <si>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</si>
  <si>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</si>
  <si>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</si>
  <si>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</si>
  <si>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</si>
  <si>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</si>
  <si>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</si>
  <si>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</si>
  <si>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</si>
  <si>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</si>
  <si>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</si>
  <si>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</si>
  <si>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</si>
  <si>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</si>
  <si>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</si>
  <si>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</si>
  <si>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</si>
  <si>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</si>
  <si>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</si>
  <si>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</si>
  <si>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</si>
  <si>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</si>
  <si>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</si>
  <si>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</si>
  <si>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</si>
  <si>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</si>
  <si>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</si>
  <si>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</si>
  <si>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</si>
  <si>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</si>
  <si>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</si>
  <si>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</si>
  <si>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</si>
  <si>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</si>
  <si>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</si>
  <si>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</si>
  <si>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</si>
  <si>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</si>
  <si>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</si>
  <si>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</si>
  <si>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</si>
  <si>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</si>
  <si>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</si>
  <si>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</si>
  <si>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</si>
  <si>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</si>
  <si>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</si>
  <si>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</si>
  <si>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</si>
  <si>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</si>
  <si>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</si>
  <si>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</si>
  <si>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</si>
  <si>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</si>
  <si>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</si>
  <si>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</si>
  <si>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</si>
  <si>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</si>
  <si>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</si>
  <si>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</si>
  <si>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</si>
  <si>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</si>
  <si>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</si>
  <si>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</si>
  <si>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</si>
  <si>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</si>
  <si>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</si>
  <si>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</si>
  <si>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</si>
  <si>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</si>
  <si>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</si>
  <si>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</si>
  <si>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</si>
  <si>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</si>
  <si>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</si>
  <si>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</si>
  <si>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</si>
  <si>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</si>
  <si>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</si>
  <si>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</si>
  <si>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</si>
  <si>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</si>
  <si>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</si>
  <si>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</si>
  <si>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</si>
  <si>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</si>
  <si>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</si>
  <si>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</si>
  <si>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</si>
  <si>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</si>
  <si>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</si>
  <si>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</si>
  <si>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</si>
  <si>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</si>
  <si>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</si>
  <si>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</si>
  <si>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</si>
  <si>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</si>
  <si>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</si>
  <si>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</si>
  <si>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</si>
  <si>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</si>
  <si>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</si>
  <si>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</si>
  <si>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</si>
  <si>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</si>
  <si>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</si>
  <si>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</si>
  <si>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</si>
  <si>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</si>
  <si>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</si>
  <si>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</si>
  <si>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</si>
  <si>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</si>
  <si>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</si>
  <si>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</si>
  <si>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</si>
  <si>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</si>
  <si>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</si>
  <si>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</si>
  <si>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</si>
  <si>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</si>
  <si>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</si>
  <si>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</si>
  <si>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</si>
  <si>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</si>
  <si>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</si>
  <si>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</si>
  <si>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</si>
  <si>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</si>
  <si>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</si>
  <si>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</si>
  <si>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</si>
  <si>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</si>
  <si>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</si>
  <si>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</si>
  <si>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</si>
  <si>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</si>
  <si>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</si>
  <si>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</si>
  <si>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</si>
  <si>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</si>
  <si>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</si>
  <si>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</si>
  <si>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</si>
  <si>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</si>
  <si>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</si>
  <si>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</si>
  <si>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</si>
  <si>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</si>
  <si>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</si>
  <si>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</si>
  <si>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</si>
  <si>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</si>
  <si>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</si>
  <si>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</si>
  <si>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</si>
  <si>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</si>
  <si>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</si>
  <si>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</si>
  <si>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</si>
  <si>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</si>
  <si>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</si>
  <si>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</si>
  <si>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</si>
  <si>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</si>
  <si>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</si>
  <si>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</si>
  <si>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</si>
  <si>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</si>
  <si>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</si>
  <si>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</si>
  <si>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</si>
  <si>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</si>
  <si>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</si>
  <si>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</si>
  <si>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</si>
  <si>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</si>
  <si>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</si>
  <si>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</si>
  <si>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</si>
  <si>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</si>
  <si>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</si>
  <si>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</si>
  <si>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</si>
  <si>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</si>
  <si>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</si>
  <si>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</si>
  <si>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</si>
  <si>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</si>
  <si>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</si>
  <si>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</si>
  <si>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</si>
  <si>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</si>
  <si>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</si>
  <si>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</si>
  <si>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</si>
  <si>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</si>
  <si>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</si>
  <si>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</si>
  <si>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</si>
  <si>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</si>
  <si>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</si>
  <si>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</si>
  <si>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</si>
  <si>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</si>
  <si>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</si>
  <si>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</si>
  <si>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</si>
  <si>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</si>
  <si>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</si>
  <si>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</si>
  <si>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</si>
  <si>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</si>
  <si>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</si>
  <si>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</si>
  <si>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</si>
  <si>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</si>
  <si>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</si>
  <si>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</si>
  <si>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</si>
  <si>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</si>
  <si>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</si>
  <si>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</si>
  <si>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</si>
  <si>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</si>
  <si>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</si>
  <si>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</si>
  <si>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</si>
  <si>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</si>
  <si>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</si>
  <si>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</si>
  <si>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</si>
  <si>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</si>
  <si>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</si>
  <si>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</si>
  <si>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</si>
  <si>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</si>
  <si>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</si>
  <si>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</si>
  <si>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</si>
  <si>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</si>
  <si>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</si>
  <si>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</si>
  <si>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</si>
  <si>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</si>
  <si>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</si>
  <si>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</si>
  <si>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</si>
  <si>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</si>
  <si>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</si>
  <si>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</si>
  <si>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</si>
  <si>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</si>
  <si>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</si>
  <si>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</si>
  <si>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</si>
  <si>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</si>
  <si>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</si>
  <si>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</si>
  <si>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</si>
  <si>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</si>
  <si>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</si>
  <si>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</si>
  <si>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</si>
  <si>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</si>
  <si>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</si>
  <si>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</si>
  <si>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</si>
  <si>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</si>
  <si>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</si>
  <si>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</si>
  <si>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</si>
  <si>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</si>
  <si>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</si>
  <si>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</si>
  <si>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</si>
  <si>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</si>
  <si>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</si>
  <si>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</si>
  <si>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</si>
  <si>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</si>
  <si>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</si>
  <si>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</si>
  <si>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</si>
  <si>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</si>
  <si>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</si>
  <si>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</si>
  <si>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</si>
  <si>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</si>
  <si>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</si>
  <si>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</si>
  <si>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</si>
  <si>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Input_For_CoCorrelation</t>
  </si>
  <si>
    <t>Defines.mqh</t>
  </si>
  <si>
    <t>Enums.mqh</t>
  </si>
  <si>
    <t>Image.mqh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</si>
  <si>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</si>
  <si>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</si>
  <si>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</si>
  <si>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</si>
  <si>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</si>
  <si>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</si>
  <si>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</si>
  <si>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</si>
  <si>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</si>
  <si>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</si>
  <si>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</si>
  <si>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</si>
  <si>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</si>
  <si>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</si>
  <si>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</si>
  <si>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</si>
  <si>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</si>
  <si>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</si>
  <si>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</si>
  <si>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</si>
  <si>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</si>
  <si>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</si>
  <si>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</si>
  <si>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</si>
  <si>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</si>
  <si>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</si>
  <si>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</si>
  <si>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</si>
  <si>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</si>
  <si>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C:\Users\nguye\AppData\Roaming\MetaQuotes\Terminal\D0E8209F77C8CF37AD8BF550E51FF075\MQL5\Include\Vendors\Anhnt\Library\3. EasyAndFastGUI 19703\Controls\Window.mqh</t>
  </si>
  <si>
    <t>Colors.mqh</t>
  </si>
  <si>
    <t>#include "..\Colors.mqh"</t>
  </si>
  <si>
    <t>Common.mqh</t>
  </si>
  <si>
    <t>#include "..\Common.mqh"</t>
  </si>
  <si>
    <t>#include "..\Defines.mqh"</t>
  </si>
  <si>
    <t>Element.mqh</t>
  </si>
  <si>
    <t>#include "..\Element.mqh"</t>
  </si>
  <si>
    <t>#include "..\ElementBase.mqh"</t>
  </si>
  <si>
    <t>#include "..\Enums.mqh"</t>
  </si>
  <si>
    <t>Fonts.mqh</t>
  </si>
  <si>
    <t>#include "..\Fonts.mqh"</t>
  </si>
  <si>
    <t>#include "..\Image.mqh"</t>
  </si>
  <si>
    <t>KeyCodes.mqh</t>
  </si>
  <si>
    <t>#include "..\KeyCodes.mqh"</t>
  </si>
  <si>
    <t>Keys.mqh</t>
  </si>
  <si>
    <t>#include "..\Keys.mqh"</t>
  </si>
  <si>
    <t>LibNote.txt</t>
  </si>
  <si>
    <t>#include "..\LibNote.txt"</t>
  </si>
  <si>
    <t>Mouse.mqh</t>
  </si>
  <si>
    <t>#include "..\Mouse.mqh"</t>
  </si>
  <si>
    <t>RectCanvas.mqh</t>
  </si>
  <si>
    <t>#include "..\RectCanvas.mqh"</t>
  </si>
  <si>
    <t>SubChart.mqh</t>
  </si>
  <si>
    <t>#include "..\SubChart.mqh"</t>
  </si>
  <si>
    <t>TimeCounter.mqh</t>
  </si>
  <si>
    <t>#include "..\TimeCounter.mqh"</t>
  </si>
  <si>
    <t>WndContainer.mqh</t>
  </si>
  <si>
    <t>#include "..\WndContainer.mqh"</t>
  </si>
  <si>
    <t>WndCreate.mqh</t>
  </si>
  <si>
    <t>#include "..\WndCreate.mqh"</t>
  </si>
  <si>
    <t>WndEvents.mqh</t>
  </si>
  <si>
    <t>#include "..\WndEvents.mqh"</t>
  </si>
  <si>
    <t>Controls</t>
  </si>
  <si>
    <t>ButtonsGroup.mqh</t>
  </si>
  <si>
    <t>#include "ButtonsGroup.mqh"</t>
  </si>
  <si>
    <t>Calendar.mqh</t>
  </si>
  <si>
    <t>#include "Calendar.mqh"</t>
  </si>
  <si>
    <t>ColorButton.mqh</t>
  </si>
  <si>
    <t>#include "ColorButton.mqh"</t>
  </si>
  <si>
    <t>ColorPicker.mqh</t>
  </si>
  <si>
    <t>#include "ColorPicker.mqh"</t>
  </si>
  <si>
    <t>ComboBox.mqh</t>
  </si>
  <si>
    <t>#include "ComboBox.mqh"</t>
  </si>
  <si>
    <t>ContextMenu.mqh</t>
  </si>
  <si>
    <t>#include "ContextMenu.mqh"</t>
  </si>
  <si>
    <t>DropCalendar.mqh</t>
  </si>
  <si>
    <t>#include "DropCalendar.mqh"</t>
  </si>
  <si>
    <t>FileNavigator.mqh</t>
  </si>
  <si>
    <t>#include "FileNavigator.mqh"</t>
  </si>
  <si>
    <t>Frame.mqh</t>
  </si>
  <si>
    <t>#include "Frame.mqh"</t>
  </si>
  <si>
    <t>Graph.mqh</t>
  </si>
  <si>
    <t>#include "Graph.mqh"</t>
  </si>
  <si>
    <t>ListView.mqh</t>
  </si>
  <si>
    <t>#include "ListView.mqh"</t>
  </si>
  <si>
    <t>MenuBar.mqh</t>
  </si>
  <si>
    <t>#include "MenuBar.mqh"</t>
  </si>
  <si>
    <t>MenuItem.mqh</t>
  </si>
  <si>
    <t>#include "MenuItem.mqh"</t>
  </si>
  <si>
    <t>Picture.mqh</t>
  </si>
  <si>
    <t>#include "Picture.mqh"</t>
  </si>
  <si>
    <t>PicturesSlider.mqh</t>
  </si>
  <si>
    <t>#include "PicturesSlider.mqh"</t>
  </si>
  <si>
    <t>Pointer.mqh</t>
  </si>
  <si>
    <t>#include "Pointer.mqh"</t>
  </si>
  <si>
    <t>ProgressBar.mqh</t>
  </si>
  <si>
    <t>#include "ProgressBar.mqh"</t>
  </si>
  <si>
    <t>Scrolls.mqh</t>
  </si>
  <si>
    <t>#include "Scrolls.mqh"</t>
  </si>
  <si>
    <t>SeparateLine.mqh</t>
  </si>
  <si>
    <t>#include "SeparateLine.mqh"</t>
  </si>
  <si>
    <t>Slider.mqh</t>
  </si>
  <si>
    <t>#include "Slider.mqh"</t>
  </si>
  <si>
    <t>SplitButton.mqh</t>
  </si>
  <si>
    <t>#include "SplitButton.mqh"</t>
  </si>
  <si>
    <t>StandardChart.mqh</t>
  </si>
  <si>
    <t>#include "StandardChart.mqh"</t>
  </si>
  <si>
    <t>StatusBar.mqh</t>
  </si>
  <si>
    <t>#include "StatusBar.mqh"</t>
  </si>
  <si>
    <t>#include "Table.mqh"</t>
  </si>
  <si>
    <t>Tabs.mqh</t>
  </si>
  <si>
    <t>#include "Tabs.mqh"</t>
  </si>
  <si>
    <t>TextBox.mqh</t>
  </si>
  <si>
    <t>#include "TextBox.mqh"</t>
  </si>
  <si>
    <t>TextEdit.mqh</t>
  </si>
  <si>
    <t>#include "TextEdit.mqh"</t>
  </si>
  <si>
    <t>TextLabel.mqh</t>
  </si>
  <si>
    <t>#include "TextLabel.mqh"</t>
  </si>
  <si>
    <t>TimeEdit.mqh</t>
  </si>
  <si>
    <t>#include "TimeEdit.mqh"</t>
  </si>
  <si>
    <t>Tooltip.mqh</t>
  </si>
  <si>
    <t>#include "Tooltip.mqh"</t>
  </si>
  <si>
    <t>TreeItem.mqh</t>
  </si>
  <si>
    <t>#include "TreeItem.mqh"</t>
  </si>
  <si>
    <t>TreeView.mqh</t>
  </si>
  <si>
    <t>#include "TreeView.mqh"</t>
  </si>
  <si>
    <t>GUIDefines</t>
  </si>
  <si>
    <t>#include "..\GUIDefines\ControlsDefines.mqh"</t>
  </si>
  <si>
    <t>Resources</t>
  </si>
  <si>
    <t>ImageResources.mqh</t>
  </si>
  <si>
    <t>#include "..\Resources\ImageResources.mqh"</t>
  </si>
  <si>
    <t>Temp</t>
  </si>
  <si>
    <t>Objects.mqh</t>
  </si>
  <si>
    <t>#include "..\Temp\Objects.mqh"</t>
  </si>
  <si>
    <t>Resources Backup.mqh</t>
  </si>
  <si>
    <t>#include "..\Temp\Resources Backup.mqh"</t>
  </si>
  <si>
    <t>D:\AppData\Download\Dest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</si>
</sst>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3</xdr:row>
      <xdr:rowOff>130286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3</xdr:row>
      <xdr:rowOff>113947</xdr:rowOff>
    </xdr:from>
    <xdr:to>
      <xdr:col>11</xdr:col>
      <xdr:colOff>540854</xdr:colOff>
      <xdr:row>5</xdr:row>
      <xdr:rowOff>26120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3</xdr:row>
      <xdr:rowOff>86140</xdr:rowOff>
    </xdr:from>
    <xdr:to>
      <xdr:col>15</xdr:col>
      <xdr:colOff>336719</xdr:colOff>
      <xdr:row>5</xdr:row>
      <xdr:rowOff>39757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9</xdr:row>
      <xdr:rowOff>245166</xdr:rowOff>
    </xdr:from>
    <xdr:to>
      <xdr:col>8</xdr:col>
      <xdr:colOff>110161</xdr:colOff>
      <xdr:row>9</xdr:row>
      <xdr:rowOff>527851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8</xdr:row>
      <xdr:rowOff>126972</xdr:rowOff>
    </xdr:from>
    <xdr:to>
      <xdr:col>11</xdr:col>
      <xdr:colOff>514350</xdr:colOff>
      <xdr:row>9</xdr:row>
      <xdr:rowOff>221476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8</xdr:row>
      <xdr:rowOff>99392</xdr:rowOff>
    </xdr:from>
    <xdr:to>
      <xdr:col>15</xdr:col>
      <xdr:colOff>330093</xdr:colOff>
      <xdr:row>9</xdr:row>
      <xdr:rowOff>238539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6</xdr:row>
      <xdr:rowOff>14328</xdr:rowOff>
    </xdr:from>
    <xdr:to>
      <xdr:col>15</xdr:col>
      <xdr:colOff>328820</xdr:colOff>
      <xdr:row>7</xdr:row>
      <xdr:rowOff>108833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570919</xdr:rowOff>
    </xdr:from>
    <xdr:to>
      <xdr:col>11</xdr:col>
      <xdr:colOff>527601</xdr:colOff>
      <xdr:row>10</xdr:row>
      <xdr:rowOff>122085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556591</xdr:rowOff>
    </xdr:from>
    <xdr:to>
      <xdr:col>15</xdr:col>
      <xdr:colOff>356597</xdr:colOff>
      <xdr:row>10</xdr:row>
      <xdr:rowOff>152400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6</xdr:row>
      <xdr:rowOff>14328</xdr:rowOff>
    </xdr:from>
    <xdr:to>
      <xdr:col>11</xdr:col>
      <xdr:colOff>540855</xdr:colOff>
      <xdr:row>7</xdr:row>
      <xdr:rowOff>108833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x14ac:dyDescent="0.3">
      <c r="B3" s="12">
        <v>1</v>
      </c>
      <c r="C3" s="12" t="s">
        <v>42</v>
      </c>
      <c r="D3" s="10" t="s">
        <v>562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455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1"/>
  <sheetViews>
    <sheetView tabSelected="1" workbookViewId="0">
      <selection activeCell="D19" sqref="D19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 filterMode="1">
    <tabColor rgb="FFFFFF00"/>
  </sheetPr>
  <dimension ref="A1:D57"/>
  <sheetViews>
    <sheetView workbookViewId="0">
      <selection activeCell="D54" sqref="D54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hidden="1" x14ac:dyDescent="0.3">
      <c r="A2" s="10">
        <v>1</v>
      </c>
      <c r="C2" s="10" t="s">
        <v>456</v>
      </c>
      <c r="D2" s="10" t="s">
        <v>457</v>
      </c>
    </row>
    <row r="3" spans="1:4" hidden="1" x14ac:dyDescent="0.3">
      <c r="A3" s="10">
        <v>2</v>
      </c>
      <c r="C3" s="10" t="s">
        <v>458</v>
      </c>
      <c r="D3" s="10" t="s">
        <v>459</v>
      </c>
    </row>
    <row r="4" spans="1:4" hidden="1" x14ac:dyDescent="0.3">
      <c r="A4" s="10">
        <v>3</v>
      </c>
      <c r="C4" s="10" t="s">
        <v>423</v>
      </c>
      <c r="D4" s="10" t="s">
        <v>460</v>
      </c>
    </row>
    <row r="5" spans="1:4" hidden="1" x14ac:dyDescent="0.3">
      <c r="A5" s="10">
        <v>4</v>
      </c>
      <c r="C5" s="10" t="s">
        <v>461</v>
      </c>
      <c r="D5" s="10" t="s">
        <v>462</v>
      </c>
    </row>
    <row r="6" spans="1:4" hidden="1" x14ac:dyDescent="0.3">
      <c r="A6" s="10">
        <v>5</v>
      </c>
      <c r="C6" s="10" t="s">
        <v>160</v>
      </c>
      <c r="D6" s="10" t="s">
        <v>463</v>
      </c>
    </row>
    <row r="7" spans="1:4" hidden="1" x14ac:dyDescent="0.3">
      <c r="A7" s="10">
        <v>6</v>
      </c>
      <c r="C7" s="10" t="s">
        <v>424</v>
      </c>
      <c r="D7" s="10" t="s">
        <v>464</v>
      </c>
    </row>
    <row r="8" spans="1:4" hidden="1" x14ac:dyDescent="0.3">
      <c r="A8" s="10">
        <v>7</v>
      </c>
      <c r="C8" s="10" t="s">
        <v>465</v>
      </c>
      <c r="D8" s="10" t="s">
        <v>466</v>
      </c>
    </row>
    <row r="9" spans="1:4" hidden="1" x14ac:dyDescent="0.3">
      <c r="A9" s="10">
        <v>8</v>
      </c>
      <c r="C9" s="10" t="s">
        <v>425</v>
      </c>
      <c r="D9" s="10" t="s">
        <v>467</v>
      </c>
    </row>
    <row r="10" spans="1:4" hidden="1" x14ac:dyDescent="0.3">
      <c r="A10" s="10">
        <v>9</v>
      </c>
      <c r="C10" s="10" t="s">
        <v>468</v>
      </c>
      <c r="D10" s="10" t="s">
        <v>469</v>
      </c>
    </row>
    <row r="11" spans="1:4" hidden="1" x14ac:dyDescent="0.3">
      <c r="A11" s="10">
        <v>10</v>
      </c>
      <c r="C11" s="10" t="s">
        <v>470</v>
      </c>
      <c r="D11" s="10" t="s">
        <v>471</v>
      </c>
    </row>
    <row r="12" spans="1:4" hidden="1" x14ac:dyDescent="0.3">
      <c r="A12" s="10">
        <v>11</v>
      </c>
      <c r="C12" s="10" t="s">
        <v>472</v>
      </c>
      <c r="D12" s="10" t="s">
        <v>473</v>
      </c>
    </row>
    <row r="13" spans="1:4" hidden="1" x14ac:dyDescent="0.3">
      <c r="A13" s="10">
        <v>12</v>
      </c>
      <c r="C13" s="10" t="s">
        <v>474</v>
      </c>
      <c r="D13" s="10" t="s">
        <v>475</v>
      </c>
    </row>
    <row r="14" spans="1:4" hidden="1" x14ac:dyDescent="0.3">
      <c r="A14" s="10">
        <v>13</v>
      </c>
      <c r="C14" s="10" t="s">
        <v>476</v>
      </c>
      <c r="D14" s="10" t="s">
        <v>477</v>
      </c>
    </row>
    <row r="15" spans="1:4" hidden="1" x14ac:dyDescent="0.3">
      <c r="A15" s="10">
        <v>14</v>
      </c>
      <c r="C15" s="10" t="s">
        <v>478</v>
      </c>
      <c r="D15" s="10" t="s">
        <v>479</v>
      </c>
    </row>
    <row r="16" spans="1:4" hidden="1" x14ac:dyDescent="0.3">
      <c r="A16" s="10">
        <v>15</v>
      </c>
      <c r="C16" s="10" t="s">
        <v>480</v>
      </c>
      <c r="D16" s="10" t="s">
        <v>481</v>
      </c>
    </row>
    <row r="17" spans="1:4" hidden="1" x14ac:dyDescent="0.3">
      <c r="A17" s="10">
        <v>16</v>
      </c>
      <c r="C17" s="10" t="s">
        <v>482</v>
      </c>
      <c r="D17" s="10" t="s">
        <v>483</v>
      </c>
    </row>
    <row r="18" spans="1:4" hidden="1" x14ac:dyDescent="0.3">
      <c r="A18" s="10">
        <v>17</v>
      </c>
      <c r="C18" s="10" t="s">
        <v>484</v>
      </c>
      <c r="D18" s="10" t="s">
        <v>485</v>
      </c>
    </row>
    <row r="19" spans="1:4" hidden="1" x14ac:dyDescent="0.3">
      <c r="A19" s="10">
        <v>18</v>
      </c>
      <c r="C19" s="10" t="s">
        <v>486</v>
      </c>
      <c r="D19" s="10" t="s">
        <v>487</v>
      </c>
    </row>
    <row r="20" spans="1:4" hidden="1" x14ac:dyDescent="0.3">
      <c r="A20" s="10">
        <v>19</v>
      </c>
      <c r="B20" s="10" t="s">
        <v>488</v>
      </c>
      <c r="C20" s="10" t="s">
        <v>151</v>
      </c>
      <c r="D20" s="10" t="s">
        <v>330</v>
      </c>
    </row>
    <row r="21" spans="1:4" hidden="1" x14ac:dyDescent="0.3">
      <c r="A21" s="10">
        <v>20</v>
      </c>
      <c r="B21" s="10" t="s">
        <v>488</v>
      </c>
      <c r="C21" s="10" t="s">
        <v>489</v>
      </c>
      <c r="D21" s="10" t="s">
        <v>490</v>
      </c>
    </row>
    <row r="22" spans="1:4" hidden="1" x14ac:dyDescent="0.3">
      <c r="A22" s="10">
        <v>21</v>
      </c>
      <c r="B22" s="10" t="s">
        <v>488</v>
      </c>
      <c r="C22" s="10" t="s">
        <v>491</v>
      </c>
      <c r="D22" s="10" t="s">
        <v>492</v>
      </c>
    </row>
    <row r="23" spans="1:4" hidden="1" x14ac:dyDescent="0.3">
      <c r="A23" s="10">
        <v>22</v>
      </c>
      <c r="B23" s="10" t="s">
        <v>488</v>
      </c>
      <c r="C23" s="10" t="s">
        <v>158</v>
      </c>
      <c r="D23" s="10" t="s">
        <v>337</v>
      </c>
    </row>
    <row r="24" spans="1:4" hidden="1" x14ac:dyDescent="0.3">
      <c r="A24" s="10">
        <v>23</v>
      </c>
      <c r="B24" s="10" t="s">
        <v>488</v>
      </c>
      <c r="C24" s="10" t="s">
        <v>493</v>
      </c>
      <c r="D24" s="10" t="s">
        <v>494</v>
      </c>
    </row>
    <row r="25" spans="1:4" hidden="1" x14ac:dyDescent="0.3">
      <c r="A25" s="10">
        <v>24</v>
      </c>
      <c r="B25" s="10" t="s">
        <v>488</v>
      </c>
      <c r="C25" s="10" t="s">
        <v>495</v>
      </c>
      <c r="D25" s="10" t="s">
        <v>496</v>
      </c>
    </row>
    <row r="26" spans="1:4" hidden="1" x14ac:dyDescent="0.3">
      <c r="A26" s="10">
        <v>25</v>
      </c>
      <c r="B26" s="10" t="s">
        <v>488</v>
      </c>
      <c r="C26" s="10" t="s">
        <v>497</v>
      </c>
      <c r="D26" s="10" t="s">
        <v>498</v>
      </c>
    </row>
    <row r="27" spans="1:4" hidden="1" x14ac:dyDescent="0.3">
      <c r="A27" s="10">
        <v>26</v>
      </c>
      <c r="B27" s="10" t="s">
        <v>488</v>
      </c>
      <c r="C27" s="10" t="s">
        <v>499</v>
      </c>
      <c r="D27" s="10" t="s">
        <v>500</v>
      </c>
    </row>
    <row r="28" spans="1:4" hidden="1" x14ac:dyDescent="0.3">
      <c r="A28" s="10">
        <v>27</v>
      </c>
      <c r="B28" s="10" t="s">
        <v>488</v>
      </c>
      <c r="C28" s="10" t="s">
        <v>501</v>
      </c>
      <c r="D28" s="10" t="s">
        <v>502</v>
      </c>
    </row>
    <row r="29" spans="1:4" hidden="1" x14ac:dyDescent="0.3">
      <c r="A29" s="10">
        <v>28</v>
      </c>
      <c r="B29" s="10" t="s">
        <v>488</v>
      </c>
      <c r="C29" s="10" t="s">
        <v>503</v>
      </c>
      <c r="D29" s="10" t="s">
        <v>504</v>
      </c>
    </row>
    <row r="30" spans="1:4" hidden="1" x14ac:dyDescent="0.3">
      <c r="A30" s="10">
        <v>29</v>
      </c>
      <c r="B30" s="10" t="s">
        <v>488</v>
      </c>
      <c r="C30" s="10" t="s">
        <v>505</v>
      </c>
      <c r="D30" s="10" t="s">
        <v>506</v>
      </c>
    </row>
    <row r="31" spans="1:4" hidden="1" x14ac:dyDescent="0.3">
      <c r="A31" s="10">
        <v>30</v>
      </c>
      <c r="B31" s="10" t="s">
        <v>488</v>
      </c>
      <c r="C31" s="10" t="s">
        <v>507</v>
      </c>
      <c r="D31" s="10" t="s">
        <v>508</v>
      </c>
    </row>
    <row r="32" spans="1:4" hidden="1" x14ac:dyDescent="0.3">
      <c r="A32" s="10">
        <v>31</v>
      </c>
      <c r="B32" s="10" t="s">
        <v>488</v>
      </c>
      <c r="C32" s="10" t="s">
        <v>509</v>
      </c>
      <c r="D32" s="10" t="s">
        <v>510</v>
      </c>
    </row>
    <row r="33" spans="1:4" hidden="1" x14ac:dyDescent="0.3">
      <c r="A33" s="10">
        <v>32</v>
      </c>
      <c r="B33" s="10" t="s">
        <v>488</v>
      </c>
      <c r="C33" s="10" t="s">
        <v>511</v>
      </c>
      <c r="D33" s="10" t="s">
        <v>512</v>
      </c>
    </row>
    <row r="34" spans="1:4" hidden="1" x14ac:dyDescent="0.3">
      <c r="A34" s="10">
        <v>33</v>
      </c>
      <c r="B34" s="10" t="s">
        <v>488</v>
      </c>
      <c r="C34" s="10" t="s">
        <v>513</v>
      </c>
      <c r="D34" s="10" t="s">
        <v>514</v>
      </c>
    </row>
    <row r="35" spans="1:4" hidden="1" x14ac:dyDescent="0.3">
      <c r="A35" s="10">
        <v>34</v>
      </c>
      <c r="B35" s="10" t="s">
        <v>488</v>
      </c>
      <c r="C35" s="10" t="s">
        <v>515</v>
      </c>
      <c r="D35" s="10" t="s">
        <v>516</v>
      </c>
    </row>
    <row r="36" spans="1:4" hidden="1" x14ac:dyDescent="0.3">
      <c r="A36" s="10">
        <v>35</v>
      </c>
      <c r="B36" s="10" t="s">
        <v>488</v>
      </c>
      <c r="C36" s="10" t="s">
        <v>517</v>
      </c>
      <c r="D36" s="10" t="s">
        <v>518</v>
      </c>
    </row>
    <row r="37" spans="1:4" hidden="1" x14ac:dyDescent="0.3">
      <c r="A37" s="10">
        <v>36</v>
      </c>
      <c r="B37" s="10" t="s">
        <v>488</v>
      </c>
      <c r="C37" s="10" t="s">
        <v>519</v>
      </c>
      <c r="D37" s="10" t="s">
        <v>520</v>
      </c>
    </row>
    <row r="38" spans="1:4" hidden="1" x14ac:dyDescent="0.3">
      <c r="A38" s="10">
        <v>37</v>
      </c>
      <c r="B38" s="10" t="s">
        <v>488</v>
      </c>
      <c r="C38" s="10" t="s">
        <v>521</v>
      </c>
      <c r="D38" s="10" t="s">
        <v>522</v>
      </c>
    </row>
    <row r="39" spans="1:4" hidden="1" x14ac:dyDescent="0.3">
      <c r="A39" s="10">
        <v>38</v>
      </c>
      <c r="B39" s="10" t="s">
        <v>488</v>
      </c>
      <c r="C39" s="10" t="s">
        <v>523</v>
      </c>
      <c r="D39" s="10" t="s">
        <v>524</v>
      </c>
    </row>
    <row r="40" spans="1:4" hidden="1" x14ac:dyDescent="0.3">
      <c r="A40" s="10">
        <v>39</v>
      </c>
      <c r="B40" s="10" t="s">
        <v>488</v>
      </c>
      <c r="C40" s="10" t="s">
        <v>525</v>
      </c>
      <c r="D40" s="10" t="s">
        <v>526</v>
      </c>
    </row>
    <row r="41" spans="1:4" hidden="1" x14ac:dyDescent="0.3">
      <c r="A41" s="10">
        <v>40</v>
      </c>
      <c r="B41" s="10" t="s">
        <v>488</v>
      </c>
      <c r="C41" s="10" t="s">
        <v>527</v>
      </c>
      <c r="D41" s="10" t="s">
        <v>528</v>
      </c>
    </row>
    <row r="42" spans="1:4" hidden="1" x14ac:dyDescent="0.3">
      <c r="A42" s="10">
        <v>41</v>
      </c>
      <c r="B42" s="10" t="s">
        <v>488</v>
      </c>
      <c r="C42" s="10" t="s">
        <v>529</v>
      </c>
      <c r="D42" s="10" t="s">
        <v>530</v>
      </c>
    </row>
    <row r="43" spans="1:4" hidden="1" x14ac:dyDescent="0.3">
      <c r="A43" s="10">
        <v>42</v>
      </c>
      <c r="B43" s="10" t="s">
        <v>488</v>
      </c>
      <c r="C43" s="10" t="s">
        <v>531</v>
      </c>
      <c r="D43" s="10" t="s">
        <v>532</v>
      </c>
    </row>
    <row r="44" spans="1:4" hidden="1" x14ac:dyDescent="0.3">
      <c r="A44" s="10">
        <v>43</v>
      </c>
      <c r="B44" s="10" t="s">
        <v>488</v>
      </c>
      <c r="C44" s="10" t="s">
        <v>533</v>
      </c>
      <c r="D44" s="10" t="s">
        <v>534</v>
      </c>
    </row>
    <row r="45" spans="1:4" hidden="1" x14ac:dyDescent="0.3">
      <c r="A45" s="10">
        <v>44</v>
      </c>
      <c r="B45" s="10" t="s">
        <v>488</v>
      </c>
      <c r="C45" s="10" t="s">
        <v>185</v>
      </c>
      <c r="D45" s="10" t="s">
        <v>535</v>
      </c>
    </row>
    <row r="46" spans="1:4" hidden="1" x14ac:dyDescent="0.3">
      <c r="A46" s="10">
        <v>45</v>
      </c>
      <c r="B46" s="10" t="s">
        <v>488</v>
      </c>
      <c r="C46" s="10" t="s">
        <v>536</v>
      </c>
      <c r="D46" s="10" t="s">
        <v>537</v>
      </c>
    </row>
    <row r="47" spans="1:4" hidden="1" x14ac:dyDescent="0.3">
      <c r="A47" s="10">
        <v>46</v>
      </c>
      <c r="B47" s="10" t="s">
        <v>488</v>
      </c>
      <c r="C47" s="10" t="s">
        <v>538</v>
      </c>
      <c r="D47" s="10" t="s">
        <v>539</v>
      </c>
    </row>
    <row r="48" spans="1:4" hidden="1" x14ac:dyDescent="0.3">
      <c r="A48" s="10">
        <v>47</v>
      </c>
      <c r="B48" s="10" t="s">
        <v>488</v>
      </c>
      <c r="C48" s="10" t="s">
        <v>540</v>
      </c>
      <c r="D48" s="10" t="s">
        <v>541</v>
      </c>
    </row>
    <row r="49" spans="1:4" hidden="1" x14ac:dyDescent="0.3">
      <c r="A49" s="10">
        <v>48</v>
      </c>
      <c r="B49" s="10" t="s">
        <v>488</v>
      </c>
      <c r="C49" s="10" t="s">
        <v>542</v>
      </c>
      <c r="D49" s="10" t="s">
        <v>543</v>
      </c>
    </row>
    <row r="50" spans="1:4" hidden="1" x14ac:dyDescent="0.3">
      <c r="A50" s="10">
        <v>49</v>
      </c>
      <c r="B50" s="10" t="s">
        <v>488</v>
      </c>
      <c r="C50" s="10" t="s">
        <v>544</v>
      </c>
      <c r="D50" s="10" t="s">
        <v>545</v>
      </c>
    </row>
    <row r="51" spans="1:4" hidden="1" x14ac:dyDescent="0.3">
      <c r="A51" s="10">
        <v>50</v>
      </c>
      <c r="B51" s="10" t="s">
        <v>488</v>
      </c>
      <c r="C51" s="10" t="s">
        <v>546</v>
      </c>
      <c r="D51" s="10" t="s">
        <v>547</v>
      </c>
    </row>
    <row r="52" spans="1:4" hidden="1" x14ac:dyDescent="0.3">
      <c r="A52" s="10">
        <v>51</v>
      </c>
      <c r="B52" s="10" t="s">
        <v>488</v>
      </c>
      <c r="C52" s="10" t="s">
        <v>548</v>
      </c>
      <c r="D52" s="10" t="s">
        <v>549</v>
      </c>
    </row>
    <row r="53" spans="1:4" hidden="1" x14ac:dyDescent="0.3">
      <c r="A53" s="10">
        <v>52</v>
      </c>
      <c r="B53" s="10" t="s">
        <v>488</v>
      </c>
      <c r="C53" s="10" t="s">
        <v>550</v>
      </c>
      <c r="D53" s="10" t="s">
        <v>551</v>
      </c>
    </row>
    <row r="54" spans="1:4" x14ac:dyDescent="0.3">
      <c r="A54" s="10">
        <v>53</v>
      </c>
      <c r="B54" s="10" t="s">
        <v>552</v>
      </c>
      <c r="C54" s="10" t="s">
        <v>179</v>
      </c>
      <c r="D54" s="10" t="s">
        <v>553</v>
      </c>
    </row>
    <row r="55" spans="1:4" hidden="1" x14ac:dyDescent="0.3">
      <c r="A55" s="10">
        <v>54</v>
      </c>
      <c r="B55" s="10" t="s">
        <v>554</v>
      </c>
      <c r="C55" s="10" t="s">
        <v>555</v>
      </c>
      <c r="D55" s="10" t="s">
        <v>556</v>
      </c>
    </row>
    <row r="56" spans="1:4" hidden="1" x14ac:dyDescent="0.3">
      <c r="A56" s="10">
        <v>55</v>
      </c>
      <c r="B56" s="10" t="s">
        <v>557</v>
      </c>
      <c r="C56" s="10" t="s">
        <v>558</v>
      </c>
      <c r="D56" s="10" t="s">
        <v>559</v>
      </c>
    </row>
    <row r="57" spans="1:4" hidden="1" x14ac:dyDescent="0.3">
      <c r="A57" s="10">
        <v>56</v>
      </c>
      <c r="B57" s="10" t="s">
        <v>557</v>
      </c>
      <c r="C57" s="10" t="s">
        <v>560</v>
      </c>
      <c r="D57" s="10" t="s">
        <v>561</v>
      </c>
    </row>
  </sheetData>
  <autoFilter ref="A1:D57" xr:uid="{34F313AE-AFAD-4AD1-A1B0-63F4BC149B1E}">
    <filterColumn colId="1">
      <filters>
        <filter val="GUIDefines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426</v>
      </c>
      <c r="C2" t="s">
        <v>427</v>
      </c>
      <c r="D2" t="s">
        <v>303</v>
      </c>
    </row>
    <row r="3" spans="1:4" x14ac:dyDescent="0.3">
      <c r="A3">
        <v>2</v>
      </c>
      <c r="B3" t="s">
        <v>428</v>
      </c>
      <c r="C3" t="s">
        <v>429</v>
      </c>
      <c r="D3" t="s">
        <v>303</v>
      </c>
    </row>
    <row r="4" spans="1:4" x14ac:dyDescent="0.3">
      <c r="A4">
        <v>3</v>
      </c>
      <c r="B4" t="s">
        <v>430</v>
      </c>
      <c r="C4" t="s">
        <v>431</v>
      </c>
      <c r="D4" t="s">
        <v>303</v>
      </c>
    </row>
    <row r="5" spans="1:4" x14ac:dyDescent="0.3">
      <c r="A5">
        <v>4</v>
      </c>
      <c r="B5" t="s">
        <v>432</v>
      </c>
      <c r="C5" t="s">
        <v>433</v>
      </c>
      <c r="D5" t="s">
        <v>303</v>
      </c>
    </row>
    <row r="6" spans="1:4" x14ac:dyDescent="0.3">
      <c r="A6">
        <v>5</v>
      </c>
      <c r="B6" t="s">
        <v>434</v>
      </c>
      <c r="C6" t="s">
        <v>435</v>
      </c>
      <c r="D6" t="s">
        <v>303</v>
      </c>
    </row>
    <row r="7" spans="1:4" x14ac:dyDescent="0.3">
      <c r="A7">
        <v>6</v>
      </c>
      <c r="B7" t="s">
        <v>436</v>
      </c>
      <c r="C7" t="s">
        <v>437</v>
      </c>
      <c r="D7" t="s">
        <v>303</v>
      </c>
    </row>
    <row r="8" spans="1:4" x14ac:dyDescent="0.3">
      <c r="A8">
        <v>7</v>
      </c>
      <c r="B8" t="s">
        <v>436</v>
      </c>
      <c r="C8" t="s">
        <v>438</v>
      </c>
      <c r="D8" t="s">
        <v>303</v>
      </c>
    </row>
    <row r="9" spans="1:4" x14ac:dyDescent="0.3">
      <c r="A9">
        <v>8</v>
      </c>
      <c r="B9" t="s">
        <v>436</v>
      </c>
      <c r="C9" t="s">
        <v>439</v>
      </c>
      <c r="D9" t="s">
        <v>303</v>
      </c>
    </row>
    <row r="10" spans="1:4" x14ac:dyDescent="0.3">
      <c r="A10">
        <v>9</v>
      </c>
      <c r="B10" t="s">
        <v>436</v>
      </c>
      <c r="C10" t="s">
        <v>440</v>
      </c>
      <c r="D10" t="s">
        <v>303</v>
      </c>
    </row>
    <row r="11" spans="1:4" x14ac:dyDescent="0.3">
      <c r="A11">
        <v>10</v>
      </c>
      <c r="B11" t="s">
        <v>436</v>
      </c>
      <c r="C11" t="s">
        <v>441</v>
      </c>
      <c r="D11" t="s">
        <v>303</v>
      </c>
    </row>
    <row r="12" spans="1:4" x14ac:dyDescent="0.3">
      <c r="A12">
        <v>11</v>
      </c>
      <c r="B12" t="s">
        <v>442</v>
      </c>
      <c r="C12" t="s">
        <v>443</v>
      </c>
      <c r="D12" t="s">
        <v>303</v>
      </c>
    </row>
    <row r="13" spans="1:4" x14ac:dyDescent="0.3">
      <c r="A13">
        <v>12</v>
      </c>
      <c r="B13" t="s">
        <v>444</v>
      </c>
      <c r="C13" t="s">
        <v>445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3"/>
  <sheetViews>
    <sheetView workbookViewId="0">
      <selection activeCell="B3" sqref="B3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151</v>
      </c>
      <c r="C2" t="str">
        <f>UPPER(SUBSTITUTE(B2,".","_"))</f>
        <v>BUTTON_MQH</v>
      </c>
      <c r="D2" t="str">
        <f>"#ifndef __"&amp;C$2&amp;"__"</f>
        <v>#ifndef __BUTTON_MQH__</v>
      </c>
      <c r="G2" t="str">
        <f>"C"&amp;C2</f>
        <v>CBUTTON_MQH</v>
      </c>
      <c r="H2" t="str">
        <f>UPPER(G2)</f>
        <v>CBUTTON_MQH</v>
      </c>
      <c r="I2" t="str">
        <f>"#ifndef "&amp;$H2</f>
        <v>#ifndef CBUTTON_MQH</v>
      </c>
    </row>
    <row r="3" spans="2:9" x14ac:dyDescent="0.3">
      <c r="D3" t="str">
        <f>"#define __" &amp; C2&amp;"__"</f>
        <v>#define __BUTTON_MQH__</v>
      </c>
      <c r="I3" t="str">
        <f>"#define " &amp; $H2</f>
        <v>#define CBUTTON_MQH</v>
      </c>
    </row>
    <row r="4" spans="2:9" x14ac:dyDescent="0.3">
      <c r="D4" t="str">
        <f>"#endif // __" &amp;C2&amp;"__"</f>
        <v>#endif // __BUTTON_MQH__</v>
      </c>
      <c r="I4" t="str">
        <f>"#endif // " &amp;$H2</f>
        <v>#endif // CBUTTON_MQH</v>
      </c>
    </row>
    <row r="6" spans="2:9" x14ac:dyDescent="0.3">
      <c r="C6" t="s">
        <v>115</v>
      </c>
      <c r="D6" t="str">
        <f>"#ifndef "&amp;C6&amp;"_"&amp;C2</f>
        <v>#ifndef MOVE_TO_BUTTON_MQH</v>
      </c>
    </row>
    <row r="7" spans="2:9" x14ac:dyDescent="0.3">
      <c r="D7" t="str">
        <f>"#define " &amp; C6&amp;"_"&amp;C2</f>
        <v>#define MOVE_TO_BUTTON_MQH</v>
      </c>
      <c r="H7" t="s">
        <v>113</v>
      </c>
      <c r="I7" t="str">
        <f>"#ifndef "&amp;$H$2&amp;"_"&amp;$H7</f>
        <v>#ifndef CBUTTON_MQH_DECLARATION</v>
      </c>
    </row>
    <row r="8" spans="2:9" x14ac:dyDescent="0.3">
      <c r="D8" t="str">
        <f>"#endif // " &amp;C6&amp;"_"&amp;C2</f>
        <v>#endif // MOVE_TO_BUTTON_MQH</v>
      </c>
      <c r="I8" t="str">
        <f>"#define " &amp; $H$2&amp;"_"&amp;H7</f>
        <v>#define CBUTTON_MQH_DECLARATION</v>
      </c>
    </row>
    <row r="9" spans="2:9" x14ac:dyDescent="0.3">
      <c r="I9" t="str">
        <f>"#endif // " &amp;$H2&amp;"_"&amp;H7</f>
        <v>#endif // CBUTTON_MQH_DECLARATION</v>
      </c>
    </row>
    <row r="10" spans="2:9" x14ac:dyDescent="0.3">
      <c r="B10" t="s">
        <v>422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CBUTTON_MQH_IMPLEMENTATION</v>
      </c>
    </row>
    <row r="13" spans="2:9" x14ac:dyDescent="0.3">
      <c r="I13" t="str">
        <f>"#define " &amp; $H$2&amp;"_"&amp;H12</f>
        <v>#define CBUTTON_MQH_IMPLEMENTATION</v>
      </c>
    </row>
    <row r="14" spans="2:9" x14ac:dyDescent="0.3">
      <c r="I14" t="str">
        <f>"#endif // " &amp;H2&amp;"_"&amp;H12</f>
        <v>#endif // CBUTTON_MQH_IMPLEMENTATION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4" x14ac:dyDescent="0.3">
      <c r="D17" t="str">
        <f>"#define __" &amp; C15&amp;"_"&amp;C16&amp;"_CLASS__"</f>
        <v>#define __MOVE_FROM_CTABLEROWVIEW_CLASS__</v>
      </c>
    </row>
    <row r="18" spans="2:4" x14ac:dyDescent="0.3">
      <c r="D18" t="str">
        <f>"#endif // " &amp;C15&amp;"_"&amp;C16&amp;"_CLASS__"</f>
        <v>#endif // MOVE_FROM_CTABLEROWVIEW_CLASS__</v>
      </c>
    </row>
    <row r="21" spans="2:4" x14ac:dyDescent="0.3">
      <c r="B21" t="s">
        <v>422</v>
      </c>
      <c r="C21" t="str">
        <f>UPPER(SUBSTITUTE(B21,".","_"))</f>
        <v>INPUT_FOR_COCORRELATION</v>
      </c>
      <c r="D21" t="str">
        <f>"#ifndef __"&amp;C$21&amp;"__"</f>
        <v>#ifndef __INPUT_FOR_COCORRELATION__</v>
      </c>
    </row>
    <row r="22" spans="2:4" x14ac:dyDescent="0.3">
      <c r="D22" t="str">
        <f>"#define __" &amp;C21&amp;"__"</f>
        <v>#define __INPUT_FOR_COCORRELATION__</v>
      </c>
    </row>
    <row r="23" spans="2:4" x14ac:dyDescent="0.3">
      <c r="D23" t="str">
        <f>"#endif // __"  &amp;C21&amp;"__"</f>
        <v>#endif // __INPUT_FOR_COCORRELATION__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446</v>
      </c>
      <c r="E2" t="s">
        <v>447</v>
      </c>
      <c r="F2" t="s">
        <v>450</v>
      </c>
      <c r="G2" t="s">
        <v>451</v>
      </c>
      <c r="H2" t="s">
        <v>452</v>
      </c>
    </row>
    <row r="3" spans="4:8" x14ac:dyDescent="0.3">
      <c r="D3" t="s">
        <v>448</v>
      </c>
      <c r="E3" t="s">
        <v>449</v>
      </c>
      <c r="F3">
        <v>3500</v>
      </c>
      <c r="G3">
        <v>3600</v>
      </c>
      <c r="H3">
        <v>-10</v>
      </c>
    </row>
    <row r="4" spans="4:8" x14ac:dyDescent="0.3">
      <c r="D4" t="s">
        <v>453</v>
      </c>
      <c r="E4" t="s">
        <v>454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2026-04-20T10:29:28Z</dcterms:modified>
</cp:coreProperties>
</file>